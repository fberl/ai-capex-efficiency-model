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Microsoft" sheetId="4" state="visible" r:id="rId4"/>
    <sheet name="Alphabet" sheetId="5" state="visible" r:id="rId5"/>
    <sheet name="Amazon" sheetId="6" state="visible" r:id="rId6"/>
    <sheet name="Meta" sheetId="7" state="visible" r:id="rId7"/>
    <sheet name="Oracle" sheetId="8" state="visible" r:id="rId8"/>
    <sheet name="SpaceX" sheetId="9" state="visible" r:id="rId9"/>
    <sheet name="Totals" sheetId="10" state="visible" r:id="rId10"/>
    <sheet name="Inputs" sheetId="11" state="visible" r:id="rId11"/>
    <sheet name="Sensitivity" sheetId="12" state="visible" r:id="rId12"/>
    <sheet name="CostLadder" sheetId="13" state="visible" r:id="rId13"/>
    <sheet name="ServingTraining" sheetId="14" state="visible" r:id="rId14"/>
    <sheet name="Evidence" sheetId="15" state="visible" r:id="rId15"/>
    <sheet name="Methodology" sheetId="16" state="visible" r:id="rId16"/>
  </sheets>
  <definedNames>
    <definedName name="Scenario">Levers!$C$4</definedName>
    <definedName name="SmallerModel">Levers!$C$7</definedName>
    <definedName name="FewerTokens">Levers!$C$8</definedName>
    <definedName name="TrainSpeed">Levers!$C$9</definedName>
    <definedName name="MemoryLever">Levers!$C$10</definedName>
    <definedName name="ServeThroughput">Levers!$C$11</definedName>
    <definedName name="TrainLever">Levers!$C$14</definedName>
    <definedName name="ServeComputeLever">Levers!$C$16</definedName>
    <definedName name="MemShare">Levers!$C$17</definedName>
  </definedNames>
  <calcPr calcId="124519" fullCalcOnLoad="1"/>
</workbook>
</file>

<file path=xl/styles.xml><?xml version="1.0" encoding="utf-8"?>
<styleSheet xmlns="http://schemas.openxmlformats.org/spreadsheetml/2006/main">
  <numFmts count="18">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0.0&quot;×&quot;"/>
    <numFmt numFmtId="177" formatCode="&quot;÷&quot;#,##0"/>
    <numFmt numFmtId="178" formatCode="&quot;$&quot;#,##0&quot;B&quot;;-&quot;$&quot;#,##0&quot;B&quot;"/>
    <numFmt numFmtId="179" formatCode="&quot;$&quot;#,##0.0&quot;B&quot;"/>
    <numFmt numFmtId="180" formatCode="&quot;$&quot;#,##0.0&quot;T&quot;;-&quot;$&quot;#,##0.0&quot;T&quot;"/>
    <numFmt numFmtId="181" formatCode="+&quot;$&quot;#,##0&quot;B&quot;;-&quot;$&quot;#,##0&quot;B&quot;;&quot;—&quot;"/>
  </numFmts>
  <fonts count="6">
    <font>
      <name val="Calibri"/>
      <family val="2"/>
      <color theme="1"/>
      <sz val="11"/>
      <scheme val="minor"/>
    </font>
    <font>
      <b val="1"/>
      <color rgb="00FFFFFF"/>
    </font>
    <font>
      <b val="1"/>
    </font>
    <font>
      <color rgb="000563C1"/>
      <u val="single"/>
    </font>
    <font>
      <b val="1"/>
      <color rgb="00FFFFFF"/>
      <sz val="16"/>
    </font>
    <font>
      <b val="1"/>
      <sz val="13"/>
    </font>
  </fonts>
  <fills count="9">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
      <patternFill patternType="solid">
        <fgColor rgb="000B2545"/>
      </patternFill>
    </fill>
    <fill>
      <patternFill patternType="solid">
        <fgColor rgb="00FCE4D6"/>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82">
    <xf numFmtId="0" fontId="0" fillId="0" borderId="0" pivotButton="0" quotePrefix="0" xfId="0"/>
    <xf numFmtId="0" fontId="4" fillId="7" borderId="0" applyAlignment="1" pivotButton="0" quotePrefix="0" xfId="0">
      <alignment vertical="center"/>
    </xf>
    <xf numFmtId="0" fontId="0" fillId="7" borderId="0" pivotButton="0" quotePrefix="0" xfId="0"/>
    <xf numFmtId="0" fontId="0" fillId="0" borderId="0" applyAlignment="1" pivotButton="0" quotePrefix="0" xfId="0">
      <alignment vertical="top" wrapText="1"/>
    </xf>
    <xf numFmtId="0" fontId="2" fillId="6" borderId="0" pivotButton="0" quotePrefix="0" xfId="0"/>
    <xf numFmtId="0" fontId="0" fillId="6" borderId="0" pivotButton="0" quotePrefix="0" xfId="0"/>
    <xf numFmtId="178" fontId="0" fillId="5" borderId="1" pivotButton="0" quotePrefix="0" xfId="0"/>
    <xf numFmtId="0" fontId="2" fillId="0" borderId="0" pivotButton="0" quotePrefix="0" xfId="0"/>
    <xf numFmtId="178" fontId="5" fillId="8" borderId="1" pivotButton="0" quotePrefix="0" xfId="0"/>
    <xf numFmtId="9" fontId="5" fillId="8" borderId="1" pivotButton="0" quotePrefix="0" xfId="0"/>
    <xf numFmtId="180" fontId="0" fillId="5" borderId="1" pivotButton="0" quotePrefix="0" xfId="0"/>
    <xf numFmtId="0" fontId="2" fillId="0" borderId="1" pivotButton="0" quotePrefix="0" xfId="0"/>
    <xf numFmtId="0" fontId="0" fillId="0" borderId="4" pivotButton="0" quotePrefix="0" xfId="0"/>
    <xf numFmtId="0" fontId="0" fillId="0" borderId="5" pivotButton="0" quotePrefix="0" xfId="0"/>
    <xf numFmtId="9" fontId="0" fillId="5" borderId="1" pivotButton="0" quotePrefix="0" xfId="0"/>
    <xf numFmtId="178" fontId="2" fillId="8" borderId="1" pivotButton="0" quotePrefix="0" xfId="0"/>
    <xf numFmtId="0" fontId="2" fillId="6" borderId="1" applyAlignment="1" pivotButton="0" quotePrefix="0" xfId="0">
      <alignment vertical="top" wrapText="1"/>
    </xf>
    <xf numFmtId="0" fontId="0" fillId="0" borderId="1" pivotButton="0" quotePrefix="0" xfId="0"/>
    <xf numFmtId="178" fontId="2" fillId="5" borderId="1" pivotButton="0" quotePrefix="0" xfId="0"/>
    <xf numFmtId="9" fontId="2" fillId="5" borderId="1" pivotButton="0" quotePrefix="0" xfId="0"/>
    <xf numFmtId="0" fontId="2" fillId="0" borderId="0" applyAlignment="1" pivotButton="0" quotePrefix="0" xfId="0">
      <alignment vertical="top" wrapText="1"/>
    </xf>
    <xf numFmtId="176" fontId="0" fillId="5" borderId="1" pivotButton="0" quotePrefix="0" xfId="0"/>
    <xf numFmtId="176" fontId="2" fillId="5" borderId="1" pivotButton="0" quotePrefix="0" xfId="0"/>
    <xf numFmtId="177" fontId="0" fillId="5" borderId="1" pivotButton="0" quotePrefix="0" xfId="0"/>
    <xf numFmtId="0" fontId="0" fillId="0" borderId="1" applyAlignment="1" pivotButton="0" quotePrefix="0" xfId="0">
      <alignment vertical="top" wrapText="1"/>
    </xf>
    <xf numFmtId="165" fontId="0" fillId="5" borderId="1" pivotButton="0" quotePrefix="0" xfId="0"/>
    <xf numFmtId="181" fontId="0" fillId="5" borderId="1" pivotButton="0" quotePrefix="0" xfId="0"/>
    <xf numFmtId="0" fontId="2" fillId="0" borderId="1" applyAlignment="1" pivotButton="0" quotePrefix="0" xfId="0">
      <alignment vertical="top" wrapText="1"/>
    </xf>
    <xf numFmtId="179" fontId="0" fillId="5" borderId="1" pivotButton="0" quotePrefix="0" xfId="0"/>
    <xf numFmtId="179" fontId="2" fillId="5" borderId="1" pivotButton="0" quotePrefix="0" xfId="0"/>
    <xf numFmtId="0" fontId="2" fillId="3" borderId="1" pivotButton="0" quotePrefix="0" xfId="0"/>
    <xf numFmtId="176" fontId="0" fillId="3" borderId="1" pivotButton="0" quotePrefix="0" xfId="0"/>
    <xf numFmtId="177" fontId="2" fillId="5" borderId="1" pivotButton="0" quotePrefix="0" xfId="0"/>
    <xf numFmtId="9" fontId="0" fillId="3" borderId="1" pivotButton="0" quotePrefix="0" xfId="0"/>
    <xf numFmtId="0" fontId="1" fillId="2" borderId="0" pivotButton="0" quotePrefix="0" xfId="0"/>
    <xf numFmtId="0" fontId="0" fillId="2" borderId="0" pivotButton="0" quotePrefix="0" xfId="0"/>
    <xf numFmtId="166" fontId="0" fillId="4" borderId="1" pivotButton="0" quotePrefix="0" xfId="0"/>
    <xf numFmtId="166" fontId="0" fillId="3" borderId="1" pivotButton="0" quotePrefix="0" xfId="0"/>
    <xf numFmtId="3" fontId="0" fillId="4" borderId="1" pivotButton="0" quotePrefix="0" xfId="0"/>
    <xf numFmtId="166" fontId="0" fillId="5" borderId="1" pivotButton="0" quotePrefix="0" xfId="0"/>
    <xf numFmtId="166" fontId="2" fillId="5" borderId="1" pivotButton="0" quotePrefix="0" xfId="0"/>
    <xf numFmtId="3" fontId="0" fillId="5" borderId="1" pivotButton="0" quotePrefix="0" xfId="0"/>
    <xf numFmtId="2" fontId="0" fillId="5" borderId="1" pivotButton="0" quotePrefix="0" xfId="0"/>
    <xf numFmtId="4" fontId="0" fillId="5" borderId="1" pivotButton="0" quotePrefix="0" xfId="0"/>
    <xf numFmtId="3" fontId="2" fillId="5" borderId="1" pivotButton="0" quotePrefix="0" xfId="0"/>
    <xf numFmtId="0" fontId="3" fillId="0" borderId="0" pivotButton="0" quotePrefix="0" xfId="0"/>
    <xf numFmtId="3" fontId="2" fillId="6" borderId="1" pivotButton="0" quotePrefix="0" xfId="0"/>
    <xf numFmtId="9" fontId="2" fillId="6" borderId="1" pivotButton="0" quotePrefix="0" xfId="0"/>
    <xf numFmtId="3" fontId="0" fillId="6" borderId="1" pivotButton="0" quotePrefix="0" xfId="0"/>
    <xf numFmtId="9" fontId="0" fillId="6" borderId="1" pivotButton="0" quotePrefix="0" xfId="0"/>
    <xf numFmtId="164" fontId="2" fillId="5" borderId="1"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169" fontId="0" fillId="3"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tx>
            <strRef>
              <f>'Summary'!B15</f>
            </strRef>
          </tx>
          <spPr>
            <a:ln>
              <a:prstDash val="solid"/>
            </a:ln>
          </spPr>
          <cat>
            <numRef>
              <f>'Summary'!$A$16:$A$19</f>
            </numRef>
          </cat>
          <val>
            <numRef>
              <f>'Summary'!$B$16:$B$19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$B per year</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col"/>
        <grouping val="clustered"/>
        <ser>
          <idx val="0"/>
          <order val="0"/>
          <tx>
            <strRef>
              <f>'Value Bridge'!F48</f>
            </strRef>
          </tx>
          <spPr>
            <a:ln>
              <a:prstDash val="solid"/>
            </a:ln>
          </spPr>
          <cat>
            <numRef>
              <f>'Value Bridge'!$A$49:$A$53</f>
            </numRef>
          </cat>
          <val>
            <numRef>
              <f>'Value Bridge'!$F$49:$F$53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$B per year</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5.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6.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7.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8.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9.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G43"/>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7" customWidth="1" min="7" max="7"/>
  </cols>
  <sheetData>
    <row r="1" ht="30" customHeight="1">
      <c r="A1" s="1" t="inlineStr">
        <is>
          <t>HELARCTOS × AI CAPEX — what a more efficient AI architecture is worth</t>
        </is>
      </c>
      <c r="B1" s="2" t="n"/>
      <c r="C1" s="2" t="n"/>
      <c r="D1" s="2" t="n"/>
      <c r="E1" s="2" t="n"/>
      <c r="F1" s="2" t="n"/>
      <c r="G1" s="2" t="n"/>
    </row>
    <row r="2" ht="48" customHeight="1">
      <c r="A2" s="3">
        <f>"In FY2026 the six largest AI spenders (Microsoft, Alphabet, Amazon, Meta, Oracle, SpaceX) will spend ~$"&amp;TEXT('Value Bridge'!M70,"#,##0")&amp;"B on AI and earn ~$"&amp;TEXT('Value Bridge'!O70,"#,##0")&amp;"B from it. Helarctos models do the same AI work — training and serving at the same quality — on a fraction of the hardware. This page shows how much of that spend becomes unnecessary, and where the savings come from."</f>
        <v/>
      </c>
    </row>
    <row r="3">
      <c r="A3">
        <f>"Scenario: "&amp;Scenario&amp;"   (change it on the Levers tab)"</f>
        <v/>
      </c>
    </row>
    <row r="5">
      <c r="A5" s="4" t="inlineStr">
        <is>
          <t>THE HEADLINE</t>
        </is>
      </c>
      <c r="B5" s="4" t="inlineStr">
        <is>
          <t>FY2026 (now)</t>
        </is>
      </c>
      <c r="C5" s="4" t="inlineStr">
        <is>
          <t>FY2025</t>
        </is>
      </c>
      <c r="D5" s="5" t="n"/>
      <c r="E5" s="5" t="n"/>
      <c r="F5" s="5" t="n"/>
      <c r="G5" s="5" t="n"/>
    </row>
    <row r="6">
      <c r="A6" t="inlineStr">
        <is>
          <t>AI spend: chips, data centres, power</t>
        </is>
      </c>
      <c r="B6" s="6">
        <f>'Value Bridge'!M70</f>
        <v/>
      </c>
      <c r="C6" s="6">
        <f>'Value Bridge'!M81</f>
        <v/>
      </c>
    </row>
    <row r="7">
      <c r="A7" t="inlineStr">
        <is>
          <t>AI revenue</t>
        </is>
      </c>
      <c r="B7" s="6">
        <f>'Value Bridge'!O70</f>
        <v/>
      </c>
      <c r="C7" s="6">
        <f>'Value Bridge'!O81</f>
        <v/>
      </c>
    </row>
    <row r="8">
      <c r="A8" t="inlineStr">
        <is>
          <t>Net AI cash result today</t>
        </is>
      </c>
      <c r="B8" s="6">
        <f>'Value Bridge'!P70</f>
        <v/>
      </c>
      <c r="C8" s="6">
        <f>'Value Bridge'!P81</f>
        <v/>
      </c>
    </row>
    <row r="9">
      <c r="A9" s="7" t="inlineStr">
        <is>
          <t>Spend Helarctos makes unnecessary, per year</t>
        </is>
      </c>
      <c r="B9" s="8">
        <f>'Value Bridge'!L70</f>
        <v/>
      </c>
      <c r="C9" s="8">
        <f>'Value Bridge'!L81</f>
        <v/>
      </c>
    </row>
    <row r="10">
      <c r="A10" s="7" t="inlineStr">
        <is>
          <t>…as a share of AI spend</t>
        </is>
      </c>
      <c r="B10" s="9">
        <f>'Value Bridge'!N70</f>
        <v/>
      </c>
      <c r="C10" s="9">
        <f>'Value Bridge'!N81</f>
        <v/>
      </c>
    </row>
    <row r="11">
      <c r="A11" t="inlineStr">
        <is>
          <t>Net AI cash result with Helarctos</t>
        </is>
      </c>
      <c r="B11" s="6">
        <f>'Value Bridge'!Q70</f>
        <v/>
      </c>
      <c r="C11" s="6">
        <f>'Value Bridge'!Q81</f>
        <v/>
      </c>
    </row>
    <row r="12">
      <c r="A12" t="inlineStr">
        <is>
          <t>Value of that saving, capitalized at the discount rate</t>
        </is>
      </c>
      <c r="B12" s="10">
        <f>'Value Bridge'!L70/Inputs!$B$6/1000</f>
        <v/>
      </c>
      <c r="C12" s="10">
        <f>'Value Bridge'!L81/Inputs!$B$6/1000</f>
        <v/>
      </c>
    </row>
    <row r="14">
      <c r="A14" s="4" t="inlineStr">
        <is>
          <t>WHERE THE SAVINGS COME FROM — FY2026, $B per year</t>
        </is>
      </c>
      <c r="B14" s="5" t="n"/>
      <c r="C14" s="5" t="n"/>
      <c r="D14" s="5" t="n"/>
      <c r="E14" s="5" t="n"/>
      <c r="F14" s="5" t="n"/>
      <c r="G14" s="5" t="n"/>
    </row>
    <row r="15">
      <c r="A15" s="11" t="inlineStr">
        <is>
          <t>Source</t>
        </is>
      </c>
      <c r="B15" s="11" t="inlineStr">
        <is>
          <t>$B / yr</t>
        </is>
      </c>
      <c r="C15" s="11" t="inlineStr">
        <is>
          <t>share</t>
        </is>
      </c>
      <c r="D15" s="11" t="inlineStr">
        <is>
          <t>How Helarctos does it</t>
        </is>
      </c>
      <c r="E15" s="12" t="n"/>
      <c r="F15" s="12" t="n"/>
      <c r="G15" s="13" t="n"/>
    </row>
    <row r="16" ht="46" customHeight="1">
      <c r="A16" s="11" t="inlineStr">
        <is>
          <t>Training clusters</t>
        </is>
      </c>
      <c r="B16" s="6">
        <f>'Value Bridge'!F70</f>
        <v/>
      </c>
      <c r="C16" s="14">
        <f>B16/$B$20</f>
        <v/>
      </c>
      <c r="D16" s="3">
        <f>"Same-quality model is "&amp;TEXT(SmallerModel,"0.0")&amp;"× smaller and needs "&amp;TEXT(FewerTokens,"0.0")&amp;"× fewer training tokens; each token trains "&amp;TEXT(TrainSpeed,"0.0")&amp;"× faster on long documents → "&amp;TEXT(TrainLever,"0")&amp;"× fewer GPU-hours → training clusters (and their capex) shrink."</f>
        <v/>
      </c>
    </row>
    <row r="17" ht="46" customHeight="1">
      <c r="A17" s="11" t="inlineStr">
        <is>
          <t>Serving: memory</t>
        </is>
      </c>
      <c r="B17" s="6">
        <f>'Value Bridge'!G70</f>
        <v/>
      </c>
      <c r="C17" s="14">
        <f>B17/$B$20</f>
        <v/>
      </c>
      <c r="D17" s="3">
        <f>"A transformer's memory grows with every token of every live conversation; Helarctos keeps a fixed-size state → ÷"&amp;TEXT(MemoryLever,"0")&amp;" memory per conversation (memory is ~60% of a GPU's cost)."</f>
        <v/>
      </c>
    </row>
    <row r="18" ht="46" customHeight="1">
      <c r="A18" s="11" t="inlineStr">
        <is>
          <t>Serving: compute</t>
        </is>
      </c>
      <c r="B18" s="6">
        <f>'Value Bridge'!H70</f>
        <v/>
      </c>
      <c r="C18" s="14">
        <f>B18/$B$20</f>
        <v/>
      </c>
      <c r="D18" s="3">
        <f>"Smaller model ("&amp;TEXT(SmallerModel,"0.0")&amp;"×) × far more conversations per GPU ("&amp;TEXT(ServeThroughput,"0")&amp;"× at a 128k-token average) → "&amp;TEXT(ServeComputeLever,"0")&amp;"× less compute per token served."</f>
        <v/>
      </c>
    </row>
    <row r="19" ht="46" customHeight="1">
      <c r="A19" s="11" t="inlineStr">
        <is>
          <t>Power &amp; operations</t>
        </is>
      </c>
      <c r="B19" s="6">
        <f>'Value Bridge'!K70</f>
        <v/>
      </c>
      <c r="C19" s="14">
        <f>B19/$B$20</f>
        <v/>
      </c>
      <c r="D19" s="3" t="inlineStr">
        <is>
          <t>Fewer chips draw less power and need less cooling.</t>
        </is>
      </c>
    </row>
    <row r="20">
      <c r="A20" s="11" t="inlineStr">
        <is>
          <t>TOTAL</t>
        </is>
      </c>
      <c r="B20" s="15">
        <f>SUM(B16:B19)</f>
        <v/>
      </c>
      <c r="C20" s="14">
        <f>SUM(C16:C19)</f>
        <v/>
      </c>
    </row>
    <row r="21">
      <c r="A21" s="3" t="inlineStr">
        <is>
          <t>Step-by-step build and the one-lever-at-a-time view: Value Bridge tab.</t>
        </is>
      </c>
    </row>
    <row r="23">
      <c r="A23" s="4" t="inlineStr">
        <is>
          <t>BY COMPANY — FY2026, $B</t>
        </is>
      </c>
      <c r="B23" s="5" t="n"/>
      <c r="C23" s="5" t="n"/>
      <c r="D23" s="5" t="n"/>
      <c r="E23" s="5" t="n"/>
      <c r="F23" s="5" t="n"/>
      <c r="G23" s="5" t="n"/>
    </row>
    <row r="24" ht="30" customHeight="1">
      <c r="A24" s="16" t="inlineStr">
        <is>
          <t>Company</t>
        </is>
      </c>
      <c r="B24" s="16" t="inlineStr">
        <is>
          <t>AI spend</t>
        </is>
      </c>
      <c r="C24" s="16" t="inlineStr">
        <is>
          <t>Helarctos saving / yr</t>
        </is>
      </c>
      <c r="D24" s="16" t="inlineStr">
        <is>
          <t>% of AI spend</t>
        </is>
      </c>
      <c r="E24" s="16" t="inlineStr">
        <is>
          <t>…of which training</t>
        </is>
      </c>
      <c r="F24" s="16" t="inlineStr">
        <is>
          <t>Net AI today</t>
        </is>
      </c>
      <c r="G24" s="16" t="inlineStr">
        <is>
          <t>Net AI with Helarctos</t>
        </is>
      </c>
    </row>
    <row r="25">
      <c r="A25" s="17" t="inlineStr">
        <is>
          <t>Microsoft</t>
        </is>
      </c>
      <c r="B25" s="6">
        <f>'Value Bridge'!M64</f>
        <v/>
      </c>
      <c r="C25" s="6">
        <f>'Value Bridge'!L64</f>
        <v/>
      </c>
      <c r="D25" s="14">
        <f>'Value Bridge'!N64</f>
        <v/>
      </c>
      <c r="E25" s="6">
        <f>'Value Bridge'!F64</f>
        <v/>
      </c>
      <c r="F25" s="6">
        <f>'Value Bridge'!P64</f>
        <v/>
      </c>
      <c r="G25" s="6">
        <f>'Value Bridge'!Q64</f>
        <v/>
      </c>
    </row>
    <row r="26">
      <c r="A26" s="17" t="inlineStr">
        <is>
          <t>Alphabet</t>
        </is>
      </c>
      <c r="B26" s="6">
        <f>'Value Bridge'!M65</f>
        <v/>
      </c>
      <c r="C26" s="6">
        <f>'Value Bridge'!L65</f>
        <v/>
      </c>
      <c r="D26" s="14">
        <f>'Value Bridge'!N65</f>
        <v/>
      </c>
      <c r="E26" s="6">
        <f>'Value Bridge'!F65</f>
        <v/>
      </c>
      <c r="F26" s="6">
        <f>'Value Bridge'!P65</f>
        <v/>
      </c>
      <c r="G26" s="6">
        <f>'Value Bridge'!Q65</f>
        <v/>
      </c>
    </row>
    <row r="27">
      <c r="A27" s="17" t="inlineStr">
        <is>
          <t>Amazon</t>
        </is>
      </c>
      <c r="B27" s="6">
        <f>'Value Bridge'!M66</f>
        <v/>
      </c>
      <c r="C27" s="6">
        <f>'Value Bridge'!L66</f>
        <v/>
      </c>
      <c r="D27" s="14">
        <f>'Value Bridge'!N66</f>
        <v/>
      </c>
      <c r="E27" s="6">
        <f>'Value Bridge'!F66</f>
        <v/>
      </c>
      <c r="F27" s="6">
        <f>'Value Bridge'!P66</f>
        <v/>
      </c>
      <c r="G27" s="6">
        <f>'Value Bridge'!Q66</f>
        <v/>
      </c>
    </row>
    <row r="28">
      <c r="A28" s="17" t="inlineStr">
        <is>
          <t>Meta</t>
        </is>
      </c>
      <c r="B28" s="6">
        <f>'Value Bridge'!M67</f>
        <v/>
      </c>
      <c r="C28" s="6">
        <f>'Value Bridge'!L67</f>
        <v/>
      </c>
      <c r="D28" s="14">
        <f>'Value Bridge'!N67</f>
        <v/>
      </c>
      <c r="E28" s="6">
        <f>'Value Bridge'!F67</f>
        <v/>
      </c>
      <c r="F28" s="6">
        <f>'Value Bridge'!P67</f>
        <v/>
      </c>
      <c r="G28" s="6">
        <f>'Value Bridge'!Q67</f>
        <v/>
      </c>
    </row>
    <row r="29">
      <c r="A29" s="17" t="inlineStr">
        <is>
          <t>Oracle</t>
        </is>
      </c>
      <c r="B29" s="6">
        <f>'Value Bridge'!M68</f>
        <v/>
      </c>
      <c r="C29" s="6">
        <f>'Value Bridge'!L68</f>
        <v/>
      </c>
      <c r="D29" s="14">
        <f>'Value Bridge'!N68</f>
        <v/>
      </c>
      <c r="E29" s="6">
        <f>'Value Bridge'!F68</f>
        <v/>
      </c>
      <c r="F29" s="6">
        <f>'Value Bridge'!P68</f>
        <v/>
      </c>
      <c r="G29" s="6">
        <f>'Value Bridge'!Q68</f>
        <v/>
      </c>
    </row>
    <row r="30">
      <c r="A30" s="17" t="inlineStr">
        <is>
          <t>SpaceX</t>
        </is>
      </c>
      <c r="B30" s="6">
        <f>'Value Bridge'!M69</f>
        <v/>
      </c>
      <c r="C30" s="6">
        <f>'Value Bridge'!L69</f>
        <v/>
      </c>
      <c r="D30" s="14">
        <f>'Value Bridge'!N69</f>
        <v/>
      </c>
      <c r="E30" s="6">
        <f>'Value Bridge'!F69</f>
        <v/>
      </c>
      <c r="F30" s="6">
        <f>'Value Bridge'!P69</f>
        <v/>
      </c>
      <c r="G30" s="6">
        <f>'Value Bridge'!Q69</f>
        <v/>
      </c>
    </row>
    <row r="31">
      <c r="A31" s="11" t="inlineStr">
        <is>
          <t>TOTAL (6)</t>
        </is>
      </c>
      <c r="B31" s="18">
        <f>'Value Bridge'!M70</f>
        <v/>
      </c>
      <c r="C31" s="18">
        <f>'Value Bridge'!L70</f>
        <v/>
      </c>
      <c r="D31" s="19">
        <f>'Value Bridge'!N70</f>
        <v/>
      </c>
      <c r="E31" s="18">
        <f>'Value Bridge'!F70</f>
        <v/>
      </c>
      <c r="F31" s="18">
        <f>'Value Bridge'!P70</f>
        <v/>
      </c>
      <c r="G31" s="18">
        <f>'Value Bridge'!Q70</f>
        <v/>
      </c>
    </row>
    <row r="33">
      <c r="A33" s="4" t="inlineStr">
        <is>
          <t>WHY THE ANSWER IS ~99% OF THE CHIP BILL — NOT "1,000×"</t>
        </is>
      </c>
      <c r="B33" s="5" t="n"/>
      <c r="C33" s="5" t="n"/>
      <c r="D33" s="5" t="n"/>
      <c r="E33" s="5" t="n"/>
      <c r="F33" s="5" t="n"/>
      <c r="G33" s="5" t="n"/>
    </row>
    <row r="34" ht="62" customHeight="1">
      <c r="A34" s="3" t="inlineStr">
        <is>
          <t>Costs add; they don't multiply. A GPU's cost is ~60% memory and ~40% compute. Once Helarctos cuts the memory needed 100× and the compute needed hundreds of times, ~99% of the chip bill for the same AI output is gone — bigger multiples can only move the last 1%. So the dollars are set by how much these firms spend on chips, not by how large the multiple is. We report dollars.</t>
        </is>
      </c>
    </row>
    <row r="36">
      <c r="A36" s="4" t="inlineStr">
        <is>
          <t>HOW TO READ THIS WORKBOOK</t>
        </is>
      </c>
      <c r="B36" s="5" t="n"/>
      <c r="C36" s="5" t="n"/>
      <c r="D36" s="5" t="n"/>
      <c r="E36" s="5" t="n"/>
      <c r="F36" s="5" t="n"/>
      <c r="G36" s="5" t="n"/>
    </row>
    <row r="37">
      <c r="A37" s="20" t="inlineStr">
        <is>
          <t>Summary</t>
        </is>
      </c>
      <c r="B37" s="3" t="inlineStr">
        <is>
          <t>this page — the headline, where the savings come from, and by company</t>
        </is>
      </c>
    </row>
    <row r="38">
      <c r="A38" s="20" t="inlineStr">
        <is>
          <t>Value Bridge</t>
        </is>
      </c>
      <c r="B38" s="3" t="inlineStr">
        <is>
          <t>step by step from disclosed capex to the saving; training vs serving; where each lever moves the needle</t>
        </is>
      </c>
    </row>
    <row r="39">
      <c r="A39" s="20" t="inlineStr">
        <is>
          <t>Levers</t>
        </is>
      </c>
      <c r="B39" s="3" t="inlineStr">
        <is>
          <t>the five Helarctos levers in plain English, how sure we are of each, the scenario switch, training shares</t>
        </is>
      </c>
    </row>
    <row r="40" ht="30" customHeight="1">
      <c r="A40" s="20" t="inlineStr">
        <is>
          <t>Microsoft / Alphabet / Amazon / Meta / Oracle / SpaceX</t>
        </is>
      </c>
      <c r="B40" s="3" t="inlineStr">
        <is>
          <t>each company's capex build from its filings (green = disclosed)</t>
        </is>
      </c>
    </row>
    <row r="41">
      <c r="A41" s="20" t="inlineStr">
        <is>
          <t>Technical appendix</t>
        </is>
      </c>
      <c r="B41" s="3" t="inlineStr">
        <is>
          <t>Totals, Inputs, Sensitivity, CostLadder, ServingTraining, Evidence, Methodology — the full engineering ledger behind the levers</t>
        </is>
      </c>
    </row>
    <row r="43">
      <c r="A43" s="3" t="inlineStr">
        <is>
          <t>Colours: yellow = assumption you can edit · green = disclosed filing / market data · blue = formula. Cash basis; FY2026 is company guidance; not investment advice.</t>
        </is>
      </c>
    </row>
  </sheetData>
  <mergeCells count="15">
    <mergeCell ref="B38:G38"/>
    <mergeCell ref="D18:G18"/>
    <mergeCell ref="D17:G17"/>
    <mergeCell ref="B37:G37"/>
    <mergeCell ref="A3:G3"/>
    <mergeCell ref="A21:G21"/>
    <mergeCell ref="A34:G34"/>
    <mergeCell ref="D16:G16"/>
    <mergeCell ref="B41:G41"/>
    <mergeCell ref="A2:G2"/>
    <mergeCell ref="D15:G15"/>
    <mergeCell ref="D19:G19"/>
    <mergeCell ref="B40:G40"/>
    <mergeCell ref="A43:G43"/>
    <mergeCell ref="B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8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3" customWidth="1" min="12" max="12"/>
    <col width="13" customWidth="1" min="13" max="13"/>
    <col width="11" customWidth="1" min="14" max="14"/>
    <col width="11" customWidth="1" min="15" max="15"/>
    <col width="12" customWidth="1" min="16" max="16"/>
    <col width="14" customWidth="1" min="17" max="17"/>
  </cols>
  <sheetData>
    <row r="1" ht="30" customHeight="1">
      <c r="A1" s="1" t="inlineStr">
        <is>
          <t>VALUE BRIDGE — how the Helarctos architecture turns into dollars (FY2026, $B)</t>
        </is>
      </c>
      <c r="B1" s="2" t="n"/>
      <c r="C1" s="2" t="n"/>
      <c r="D1" s="2" t="n"/>
      <c r="E1" s="2" t="n"/>
      <c r="F1" s="2" t="n"/>
      <c r="G1" s="2" t="n"/>
      <c r="H1" s="2" t="n"/>
      <c r="I1" s="2" t="n"/>
    </row>
    <row r="2" ht="32" customHeight="1">
      <c r="A2" s="3" t="inlineStr">
        <is>
          <t>Read top to bottom: what the six largest AI spenders spend, how their chip fleet splits between TRAINING models and SERVING users, what Helarctos changes in each, and the dollars that follow. Every cell is a live formula; the levers live on the Levers tab.</t>
        </is>
      </c>
    </row>
    <row r="4">
      <c r="A4" s="4" t="inlineStr">
        <is>
          <t>STEP 1 — What they spend on AI this year</t>
        </is>
      </c>
      <c r="B4" s="5" t="n"/>
      <c r="C4" s="5" t="n"/>
      <c r="D4" s="5" t="n"/>
      <c r="E4" s="5" t="n"/>
      <c r="F4" s="5" t="n"/>
      <c r="G4" s="5" t="n"/>
      <c r="H4" s="5" t="n"/>
      <c r="I4" s="5" t="n"/>
    </row>
    <row r="5">
      <c r="A5" s="3" t="inlineStr">
        <is>
          <t>Total capex, all purposes</t>
        </is>
      </c>
      <c r="B5" s="6">
        <f>'Microsoft'!$C$3+'Alphabet'!$C$3+'Amazon'!$C$3+'Meta'!$C$3+'Oracle'!$C$3+'SpaceX'!$C$3</f>
        <v/>
      </c>
      <c r="D5" s="3" t="inlineStr">
        <is>
          <t>Company filings and guidance (green cells on each company tab).</t>
        </is>
      </c>
    </row>
    <row r="6">
      <c r="A6" s="3" t="inlineStr">
        <is>
          <t>AI data-centre capex</t>
        </is>
      </c>
      <c r="B6" s="6">
        <f>'Microsoft'!$C$10+'Alphabet'!$C$10+'Amazon'!$C$10+'Meta'!$C$10+'Oracle'!$C$10+'SpaceX'!$C$10</f>
        <v/>
      </c>
      <c r="D6" s="3" t="inlineStr">
        <is>
          <t>Strips non-AI spend (e.g. Amazon retail logistics).</t>
        </is>
      </c>
    </row>
    <row r="7">
      <c r="A7" s="20" t="inlineStr">
        <is>
          <t>…of which AI chips (GPUs, TPUs)</t>
        </is>
      </c>
      <c r="B7" s="18">
        <f>B70</f>
        <v/>
      </c>
      <c r="D7" s="3" t="inlineStr">
        <is>
          <t>The part Helarctos shrinks. Buildings, power and networking are NOT counted here (upside).</t>
        </is>
      </c>
    </row>
    <row r="8">
      <c r="A8" s="3" t="inlineStr">
        <is>
          <t>Power &amp; operations for those chips, per year</t>
        </is>
      </c>
      <c r="B8" s="6">
        <f>J70</f>
        <v/>
      </c>
    </row>
    <row r="9">
      <c r="A9" s="3" t="inlineStr">
        <is>
          <t>AI revenue</t>
        </is>
      </c>
      <c r="B9" s="6">
        <f>O70</f>
        <v/>
      </c>
      <c r="D9" s="3" t="inlineStr">
        <is>
          <t>Disclosed run-rates (Microsoft, Amazon) or estimates (others).</t>
        </is>
      </c>
    </row>
    <row r="10">
      <c r="A10" s="20" t="inlineStr">
        <is>
          <t>Net AI cash result today</t>
        </is>
      </c>
      <c r="B10" s="18">
        <f>P70</f>
        <v/>
      </c>
      <c r="D10" s="3" t="inlineStr">
        <is>
          <t>AI revenue − AI capex − power. They are all losing money on AI today.</t>
        </is>
      </c>
    </row>
    <row r="12">
      <c r="A12" s="4" t="inlineStr">
        <is>
          <t>STEP 2 — Split the chip fleet by what it does</t>
        </is>
      </c>
      <c r="B12" s="5" t="n"/>
      <c r="C12" s="4" t="inlineStr">
        <is>
          <t>share</t>
        </is>
      </c>
      <c r="D12" s="5" t="n"/>
      <c r="E12" s="5" t="n"/>
      <c r="F12" s="5" t="n"/>
      <c r="G12" s="5" t="n"/>
      <c r="H12" s="5" t="n"/>
      <c r="I12" s="5" t="n"/>
    </row>
    <row r="13">
      <c r="A13" s="3" t="inlineStr">
        <is>
          <t>Training fleet — builds new models</t>
        </is>
      </c>
      <c r="B13" s="6">
        <f>D70</f>
        <v/>
      </c>
      <c r="C13" s="14">
        <f>B13/B7</f>
        <v/>
      </c>
      <c r="D13" s="3" t="inlineStr">
        <is>
          <t>Estimated per company, 25%–55% (Levers tab); chip-weighted average shown.</t>
        </is>
      </c>
    </row>
    <row r="14">
      <c r="A14" s="3" t="inlineStr">
        <is>
          <t>Serving fleet — answers users</t>
        </is>
      </c>
      <c r="B14" s="6">
        <f>E70</f>
        <v/>
      </c>
      <c r="C14" s="14">
        <f>B14/B7</f>
        <v/>
      </c>
    </row>
    <row r="16">
      <c r="A16" s="4" t="inlineStr">
        <is>
          <t>STEP 3 — TRAINING: fewer GPU-hours per model → smaller training clusters → capex avoided</t>
        </is>
      </c>
      <c r="B16" s="5" t="n"/>
      <c r="C16" s="4" t="inlineStr">
        <is>
          <t>lever</t>
        </is>
      </c>
      <c r="D16" s="5" t="n"/>
      <c r="E16" s="5" t="n"/>
      <c r="F16" s="5" t="n"/>
      <c r="G16" s="5" t="n"/>
      <c r="H16" s="5" t="n"/>
      <c r="I16" s="5" t="n"/>
    </row>
    <row r="17">
      <c r="A17" s="3" t="inlineStr">
        <is>
          <t>Training fleet capex today</t>
        </is>
      </c>
      <c r="B17" s="6">
        <f>B13</f>
        <v/>
      </c>
    </row>
    <row r="18">
      <c r="A18" s="3" t="inlineStr">
        <is>
          <t>Helarctos model is smaller for the same quality</t>
        </is>
      </c>
      <c r="C18" s="21">
        <f>SmallerModel</f>
        <v/>
      </c>
      <c r="D18" s="3" t="inlineStr">
        <is>
          <t>fewer parameters to update at every step (lever 1)</t>
        </is>
      </c>
    </row>
    <row r="19">
      <c r="A19" s="3" t="inlineStr">
        <is>
          <t>…so it needs fewer training tokens</t>
        </is>
      </c>
      <c r="C19" s="21">
        <f>FewerTokens</f>
        <v/>
      </c>
      <c r="D19" s="3" t="inlineStr">
        <is>
          <t>compute-optimal training (lever 2)</t>
        </is>
      </c>
    </row>
    <row r="20">
      <c r="A20" s="3" t="inlineStr">
        <is>
          <t>…and each token trains faster on long documents</t>
        </is>
      </c>
      <c r="C20" s="21">
        <f>TrainSpeed</f>
        <v/>
      </c>
      <c r="D20" s="3" t="inlineStr">
        <is>
          <t>flat cost per token vs. rising (lever 3)</t>
        </is>
      </c>
    </row>
    <row r="21">
      <c r="A21" s="7" t="inlineStr">
        <is>
          <t>GPU-hours per training run fall by</t>
        </is>
      </c>
      <c r="C21" s="22">
        <f>TrainLever</f>
        <v/>
      </c>
      <c r="D21" s="3" t="inlineStr">
        <is>
          <t>multiply the three</t>
        </is>
      </c>
    </row>
    <row r="22">
      <c r="A22" s="3" t="inlineStr">
        <is>
          <t>Training fleet needed with Helarctos</t>
        </is>
      </c>
      <c r="B22" s="6">
        <f>B17/C21</f>
        <v/>
      </c>
    </row>
    <row r="23">
      <c r="A23" s="20" t="inlineStr">
        <is>
          <t>TRAINING CAPEX AVOIDED</t>
        </is>
      </c>
      <c r="B23" s="15">
        <f>B17-B22</f>
        <v/>
      </c>
    </row>
    <row r="24" ht="48" customHeight="1">
      <c r="A24" s="3">
        <f>"How training savings become capex savings: labs size their training clusters to the GPU-hours their training runs need. If every model of a given quality needs ~"&amp;TEXT(TrainLever,"0")&amp;"× fewer GPU-hours, the same training programme runs on a cluster ~"&amp;TEXT(TrainLever,"0")&amp;"× smaller — the GPUs that never have to be bought are capex avoided (and the power they would have drawn is opex avoided, Step 5)."</f>
        <v/>
      </c>
    </row>
    <row r="26">
      <c r="A26" s="4" t="inlineStr">
        <is>
          <t>STEP 4 — SERVING: less memory and more conversations per GPU → smaller serving fleet</t>
        </is>
      </c>
      <c r="B26" s="4" t="inlineStr">
        <is>
          <t>$ today</t>
        </is>
      </c>
      <c r="C26" s="4" t="inlineStr">
        <is>
          <t>falls by</t>
        </is>
      </c>
      <c r="D26" s="4" t="inlineStr">
        <is>
          <t>$ needed</t>
        </is>
      </c>
      <c r="E26" s="4" t="inlineStr">
        <is>
          <t>$ avoided</t>
        </is>
      </c>
      <c r="F26" s="5" t="n"/>
      <c r="G26" s="5" t="n"/>
      <c r="H26" s="5" t="n"/>
      <c r="I26" s="5" t="n"/>
    </row>
    <row r="27">
      <c r="A27" s="3" t="inlineStr">
        <is>
          <t>Serving fleet capex today</t>
        </is>
      </c>
      <c r="B27" s="6">
        <f>B14</f>
        <v/>
      </c>
    </row>
    <row r="28">
      <c r="A28" s="3" t="inlineStr">
        <is>
          <t>Memory part of those chips (≈60% of cost)</t>
        </is>
      </c>
      <c r="B28" s="6">
        <f>B27*MemShare</f>
        <v/>
      </c>
      <c r="C28" s="23">
        <f>MemoryLever</f>
        <v/>
      </c>
      <c r="D28" s="6">
        <f>B28/C28</f>
        <v/>
      </c>
      <c r="E28" s="6">
        <f>B28-D28</f>
        <v/>
      </c>
    </row>
    <row r="29">
      <c r="A29" s="3" t="inlineStr">
        <is>
          <t>Compute part of those chips (≈40% of cost)</t>
        </is>
      </c>
      <c r="B29" s="6">
        <f>B27*(1-MemShare)</f>
        <v/>
      </c>
      <c r="C29" s="21">
        <f>ServeComputeLever</f>
        <v/>
      </c>
      <c r="D29" s="6">
        <f>B29/C29</f>
        <v/>
      </c>
      <c r="E29" s="6">
        <f>B29-D29</f>
        <v/>
      </c>
    </row>
    <row r="30">
      <c r="A30" s="20" t="inlineStr">
        <is>
          <t>SERVING CAPEX AVOIDED</t>
        </is>
      </c>
      <c r="B30" s="15">
        <f>E28+E29</f>
        <v/>
      </c>
    </row>
    <row r="31" ht="48" customHeight="1">
      <c r="A31" s="3" t="inlineStr">
        <is>
          <t>Memory: a transformer's memory grows with every token of every live conversation, so long conversations fill a GPU after one or two users; Helarctos keeps a fixed-size state (lever 4). Compute: the smaller model does less work per token and each GPU serves many more conversations at once (levers 1 × 5).</t>
        </is>
      </c>
    </row>
    <row r="33">
      <c r="A33" s="4" t="inlineStr">
        <is>
          <t>STEP 5 — Power &amp; operations shrink with the fleet</t>
        </is>
      </c>
      <c r="B33" s="5" t="n"/>
      <c r="C33" s="5" t="n"/>
      <c r="D33" s="5" t="n"/>
      <c r="E33" s="5" t="n"/>
      <c r="F33" s="5" t="n"/>
      <c r="G33" s="5" t="n"/>
      <c r="H33" s="5" t="n"/>
      <c r="I33" s="5" t="n"/>
    </row>
    <row r="34">
      <c r="A34" s="3" t="inlineStr">
        <is>
          <t>Power &amp; operations for the chip fleet today</t>
        </is>
      </c>
      <c r="B34" s="6">
        <f>B8</f>
        <v/>
      </c>
    </row>
    <row r="35">
      <c r="A35" s="3" t="inlineStr">
        <is>
          <t>Power &amp; operations saved per year</t>
        </is>
      </c>
      <c r="B35" s="6">
        <f>K70</f>
        <v/>
      </c>
      <c r="D35" s="3" t="inlineStr">
        <is>
          <t>Same share as the chip fleet cut.</t>
        </is>
      </c>
    </row>
    <row r="37">
      <c r="A37" s="4" t="inlineStr">
        <is>
          <t>RESULT — FY2026</t>
        </is>
      </c>
      <c r="B37" s="5" t="n"/>
      <c r="C37" s="5" t="n"/>
      <c r="D37" s="5" t="n"/>
      <c r="E37" s="5" t="n"/>
      <c r="F37" s="5" t="n"/>
      <c r="G37" s="5" t="n"/>
      <c r="H37" s="5" t="n"/>
      <c r="I37" s="5" t="n"/>
    </row>
    <row r="38">
      <c r="A38" s="3" t="inlineStr">
        <is>
          <t>Training capex avoided</t>
        </is>
      </c>
      <c r="B38" s="6">
        <f>B23</f>
        <v/>
      </c>
    </row>
    <row r="39">
      <c r="A39" s="3" t="inlineStr">
        <is>
          <t>Serving capex avoided</t>
        </is>
      </c>
      <c r="B39" s="6">
        <f>B30</f>
        <v/>
      </c>
    </row>
    <row r="40">
      <c r="A40" s="3" t="inlineStr">
        <is>
          <t>Power &amp; operations saved</t>
        </is>
      </c>
      <c r="B40" s="6">
        <f>B35</f>
        <v/>
      </c>
    </row>
    <row r="41">
      <c r="A41" s="20" t="inlineStr">
        <is>
          <t>SPEND HELARCTOS MAKES UNNECESSARY, per year</t>
        </is>
      </c>
      <c r="B41" s="15">
        <f>B38+B39+B40</f>
        <v/>
      </c>
      <c r="D41" s="3" t="inlineStr">
        <is>
          <t>Ties to the detail table total below.</t>
        </is>
      </c>
    </row>
    <row r="42">
      <c r="A42" s="20" t="inlineStr">
        <is>
          <t>…as a share of all AI spend</t>
        </is>
      </c>
      <c r="B42" s="19">
        <f>B41/M70</f>
        <v/>
      </c>
    </row>
    <row r="43">
      <c r="A43" s="3" t="inlineStr">
        <is>
          <t>…as a share of the AI-chip bill</t>
        </is>
      </c>
      <c r="B43" s="14">
        <f>(B23+B30)/B7</f>
        <v/>
      </c>
    </row>
    <row r="44">
      <c r="A44" s="20" t="inlineStr">
        <is>
          <t>Net AI cash result with Helarctos</t>
        </is>
      </c>
      <c r="B44" s="18">
        <f>B10+B41</f>
        <v/>
      </c>
    </row>
    <row r="45">
      <c r="A45" s="3" t="inlineStr">
        <is>
          <t>Value of the saving, capitalized (÷ discount rate)</t>
        </is>
      </c>
      <c r="B45" s="10">
        <f>B41/Inputs!$B$6/1000</f>
        <v/>
      </c>
      <c r="D45" s="3" t="inlineStr">
        <is>
          <t>Simple perpetuity at the Inputs discount rate (6%).</t>
        </is>
      </c>
    </row>
    <row r="47">
      <c r="A47" s="4" t="inlineStr">
        <is>
          <t>WHERE THE NEEDLE MOVES — switch the Helarctos levers on one at a time (FY2026)</t>
        </is>
      </c>
      <c r="B47" s="5" t="n"/>
      <c r="C47" s="5" t="n"/>
      <c r="D47" s="5" t="n"/>
      <c r="E47" s="5" t="n"/>
      <c r="F47" s="5" t="n"/>
      <c r="G47" s="5" t="n"/>
      <c r="H47" s="5" t="n"/>
      <c r="I47" s="5" t="n"/>
    </row>
    <row r="48" ht="32" customHeight="1">
      <c r="A48" s="16" t="inlineStr">
        <is>
          <t>Step</t>
        </is>
      </c>
      <c r="B48" s="16" t="inlineStr">
        <is>
          <t>Training GPU-hours fall by</t>
        </is>
      </c>
      <c r="C48" s="16" t="inlineStr">
        <is>
          <t>Serving memory falls by</t>
        </is>
      </c>
      <c r="D48" s="16" t="inlineStr">
        <is>
          <t>Serving compute falls by</t>
        </is>
      </c>
      <c r="E48" s="16" t="inlineStr">
        <is>
          <t>Chip fleet cut</t>
        </is>
      </c>
      <c r="F48" s="16" t="inlineStr">
        <is>
          <t>Spend cut, $B/yr</t>
        </is>
      </c>
      <c r="G48" s="16" t="inlineStr">
        <is>
          <t>Added by this step</t>
        </is>
      </c>
    </row>
    <row r="49">
      <c r="A49" s="24" t="inlineStr">
        <is>
          <t>Today's transformer fleet</t>
        </is>
      </c>
      <c r="B49" s="21" t="n">
        <v>1</v>
      </c>
      <c r="C49" s="23" t="n">
        <v>1</v>
      </c>
      <c r="D49" s="21" t="n">
        <v>1</v>
      </c>
      <c r="E49" s="25">
        <f>(D70*(1-1/B49)+E70*(MemShare*(1-1/C49)+(1-MemShare)*(1-1/D49)))/B70</f>
        <v/>
      </c>
      <c r="F49" s="18">
        <f>E49*(B70+J70)</f>
        <v/>
      </c>
      <c r="G49" s="26">
        <f>F49</f>
        <v/>
      </c>
    </row>
    <row r="50">
      <c r="A50" s="24" t="inlineStr">
        <is>
          <t>Smaller model for the same quality (levers 1, 2)</t>
        </is>
      </c>
      <c r="B50" s="21">
        <f>SmallerModel^2</f>
        <v/>
      </c>
      <c r="C50" s="23" t="n">
        <v>1</v>
      </c>
      <c r="D50" s="21">
        <f>SmallerModel</f>
        <v/>
      </c>
      <c r="E50" s="25">
        <f>(D70*(1-1/B50)+E70*(MemShare*(1-1/C50)+(1-MemShare)*(1-1/D50)))/B70</f>
        <v/>
      </c>
      <c r="F50" s="18">
        <f>E50*(B70+J70)</f>
        <v/>
      </c>
      <c r="G50" s="26">
        <f>F50-F49</f>
        <v/>
      </c>
    </row>
    <row r="51">
      <c r="A51" s="24" t="inlineStr">
        <is>
          <t>+ Fixed-size memory per conversation (lever 4)</t>
        </is>
      </c>
      <c r="B51" s="21">
        <f>SmallerModel^2</f>
        <v/>
      </c>
      <c r="C51" s="23">
        <f>MemoryLever</f>
        <v/>
      </c>
      <c r="D51" s="21">
        <f>SmallerModel</f>
        <v/>
      </c>
      <c r="E51" s="25">
        <f>(D70*(1-1/B51)+E70*(MemShare*(1-1/C51)+(1-MemShare)*(1-1/D51)))/B70</f>
        <v/>
      </c>
      <c r="F51" s="18">
        <f>E51*(B70+J70)</f>
        <v/>
      </c>
      <c r="G51" s="26">
        <f>F51-F50</f>
        <v/>
      </c>
    </row>
    <row r="52">
      <c r="A52" s="24" t="inlineStr">
        <is>
          <t>+ Many more conversations per GPU (lever 5)</t>
        </is>
      </c>
      <c r="B52" s="21">
        <f>SmallerModel^2</f>
        <v/>
      </c>
      <c r="C52" s="23">
        <f>MemoryLever</f>
        <v/>
      </c>
      <c r="D52" s="21">
        <f>ServeComputeLever</f>
        <v/>
      </c>
      <c r="E52" s="25">
        <f>(D70*(1-1/B52)+E70*(MemShare*(1-1/C52)+(1-MemShare)*(1-1/D52)))/B70</f>
        <v/>
      </c>
      <c r="F52" s="18">
        <f>E52*(B70+J70)</f>
        <v/>
      </c>
      <c r="G52" s="26">
        <f>F52-F51</f>
        <v/>
      </c>
    </row>
    <row r="53">
      <c r="A53" s="27" t="inlineStr">
        <is>
          <t>+ Faster training on long documents (lever 3)</t>
        </is>
      </c>
      <c r="B53" s="21">
        <f>TrainLever</f>
        <v/>
      </c>
      <c r="C53" s="23">
        <f>MemoryLever</f>
        <v/>
      </c>
      <c r="D53" s="21">
        <f>ServeComputeLever</f>
        <v/>
      </c>
      <c r="E53" s="25">
        <f>(D70*(1-1/B53)+E70*(MemShare*(1-1/C53)+(1-MemShare)*(1-1/D53)))/B70</f>
        <v/>
      </c>
      <c r="F53" s="18">
        <f>E53*(B70+J70)</f>
        <v/>
      </c>
      <c r="G53" s="26">
        <f>F53-F52</f>
        <v/>
      </c>
    </row>
    <row r="55" ht="62" customHeight="1">
      <c r="A55" s="3" t="inlineStr">
        <is>
          <t>Read this as: the smaller model alone removes about half the chip bill (and nearly all of the training bill, since fewer parameters AND fewer tokens compound). Fixed-size memory is the biggest single serving lever because memory is ~60% of what a GPU costs. The later levers have large multiples but add little, because by then over 90% of the cost is already gone: a cost can only fall to zero once. That is why this workbook reports dollars, not multiples. The order is the storyline; the end point does not depend on it.</t>
        </is>
      </c>
    </row>
    <row r="57">
      <c r="A57" s="4" t="inlineStr">
        <is>
          <t>CROSS-CHECK against the technical Totals tab</t>
        </is>
      </c>
      <c r="B57" s="5" t="n"/>
      <c r="C57" s="5" t="n"/>
      <c r="D57" s="5" t="n"/>
      <c r="E57" s="5" t="n"/>
      <c r="F57" s="5" t="n"/>
      <c r="G57" s="5" t="n"/>
      <c r="H57" s="5" t="n"/>
      <c r="I57" s="5" t="n"/>
    </row>
    <row r="58">
      <c r="A58" s="3" t="inlineStr">
        <is>
          <t>Totals tab, FY2026 spend cut (whole fleet priced on serving levers)</t>
        </is>
      </c>
      <c r="B58" s="6">
        <f>Totals!$F$13</f>
        <v/>
      </c>
    </row>
    <row r="59">
      <c r="A59" s="3" t="inlineStr">
        <is>
          <t>This bridge (training priced on its own lever)</t>
        </is>
      </c>
      <c r="B59" s="6">
        <f>B41</f>
        <v/>
      </c>
    </row>
    <row r="60">
      <c r="A60" s="3" t="inlineStr">
        <is>
          <t>Difference</t>
        </is>
      </c>
      <c r="B60" s="6">
        <f>B59-B58</f>
        <v/>
      </c>
      <c r="D60" s="3" t="inlineStr">
        <is>
          <t>Small by design: both remove ~99% of the chip bill. Totals also honours the Inputs datacenter-scaling toggle (default 0); this bridge counts chips only.</t>
        </is>
      </c>
    </row>
    <row r="62">
      <c r="A62" s="4" t="inlineStr">
        <is>
          <t>DETAIL BY COMPANY — FY2026 (estimate) ($B). The engine behind every number above.</t>
        </is>
      </c>
      <c r="B62" s="5" t="n"/>
      <c r="C62" s="5" t="n"/>
      <c r="D62" s="5" t="n"/>
      <c r="E62" s="5" t="n"/>
      <c r="F62" s="5" t="n"/>
      <c r="G62" s="5" t="n"/>
      <c r="H62" s="5" t="n"/>
      <c r="I62" s="5" t="n"/>
      <c r="J62" s="5" t="n"/>
      <c r="K62" s="5" t="n"/>
      <c r="L62" s="5" t="n"/>
      <c r="M62" s="5" t="n"/>
      <c r="N62" s="5" t="n"/>
      <c r="O62" s="5" t="n"/>
      <c r="P62" s="5" t="n"/>
      <c r="Q62" s="5" t="n"/>
    </row>
    <row r="63" ht="32" customHeight="1">
      <c r="A63" s="16" t="inlineStr">
        <is>
          <t>Company</t>
        </is>
      </c>
      <c r="B63" s="16" t="inlineStr">
        <is>
          <t>AI-chip capex</t>
        </is>
      </c>
      <c r="C63" s="16" t="inlineStr">
        <is>
          <t>Training share</t>
        </is>
      </c>
      <c r="D63" s="16" t="inlineStr">
        <is>
          <t>Training fleet</t>
        </is>
      </c>
      <c r="E63" s="16" t="inlineStr">
        <is>
          <t>Serving fleet</t>
        </is>
      </c>
      <c r="F63" s="16" t="inlineStr">
        <is>
          <t>Training capex avoided</t>
        </is>
      </c>
      <c r="G63" s="16" t="inlineStr">
        <is>
          <t>Serving memory avoided</t>
        </is>
      </c>
      <c r="H63" s="16" t="inlineStr">
        <is>
          <t>Serving compute avoided</t>
        </is>
      </c>
      <c r="I63" s="16" t="inlineStr">
        <is>
          <t>Chip capex avoided</t>
        </is>
      </c>
      <c r="J63" s="16" t="inlineStr">
        <is>
          <t>Power &amp; ops today</t>
        </is>
      </c>
      <c r="K63" s="16" t="inlineStr">
        <is>
          <t>Power &amp; ops saved</t>
        </is>
      </c>
      <c r="L63" s="16" t="inlineStr">
        <is>
          <t>TOTAL spend cut</t>
        </is>
      </c>
      <c r="M63" s="16" t="inlineStr">
        <is>
          <t>AI spend (capex + power)</t>
        </is>
      </c>
      <c r="N63" s="16" t="inlineStr">
        <is>
          <t>% of AI spend cut</t>
        </is>
      </c>
      <c r="O63" s="16" t="inlineStr">
        <is>
          <t>AI revenue</t>
        </is>
      </c>
      <c r="P63" s="16" t="inlineStr">
        <is>
          <t>Net AI today</t>
        </is>
      </c>
      <c r="Q63" s="16" t="inlineStr">
        <is>
          <t>Net AI with Helarctos</t>
        </is>
      </c>
    </row>
    <row r="64">
      <c r="A64" s="17" t="inlineStr">
        <is>
          <t>Microsoft</t>
        </is>
      </c>
      <c r="B64" s="6">
        <f>'Microsoft'!$C$12</f>
        <v/>
      </c>
      <c r="C64" s="14">
        <f>Levers!$C$22</f>
        <v/>
      </c>
      <c r="D64" s="6">
        <f>B64*C64</f>
        <v/>
      </c>
      <c r="E64" s="6">
        <f>B64-D64</f>
        <v/>
      </c>
      <c r="F64" s="6">
        <f>D64*(1-1/TrainLever)</f>
        <v/>
      </c>
      <c r="G64" s="6">
        <f>E64*MemShare*(1-1/MemoryLever)</f>
        <v/>
      </c>
      <c r="H64" s="6">
        <f>E64*(1-MemShare)*(1-1/ServeComputeLever)</f>
        <v/>
      </c>
      <c r="I64" s="6">
        <f>F64+G64+H64</f>
        <v/>
      </c>
      <c r="J64" s="28">
        <f>'Microsoft'!$C$34</f>
        <v/>
      </c>
      <c r="K64" s="28">
        <f>IF(B64&gt;0,J64*I64/B64,0)</f>
        <v/>
      </c>
      <c r="L64" s="18">
        <f>I64+K64</f>
        <v/>
      </c>
      <c r="M64" s="6">
        <f>'Microsoft'!$C$10+J64</f>
        <v/>
      </c>
      <c r="N64" s="14">
        <f>L64/M64</f>
        <v/>
      </c>
      <c r="O64" s="6">
        <f>'Microsoft'!$C$32</f>
        <v/>
      </c>
      <c r="P64" s="6">
        <f>O64-M64</f>
        <v/>
      </c>
      <c r="Q64" s="18">
        <f>P64+L64</f>
        <v/>
      </c>
    </row>
    <row r="65">
      <c r="A65" s="17" t="inlineStr">
        <is>
          <t>Alphabet</t>
        </is>
      </c>
      <c r="B65" s="6">
        <f>'Alphabet'!$C$12</f>
        <v/>
      </c>
      <c r="C65" s="14">
        <f>Levers!$C$23</f>
        <v/>
      </c>
      <c r="D65" s="6">
        <f>B65*C65</f>
        <v/>
      </c>
      <c r="E65" s="6">
        <f>B65-D65</f>
        <v/>
      </c>
      <c r="F65" s="6">
        <f>D65*(1-1/TrainLever)</f>
        <v/>
      </c>
      <c r="G65" s="6">
        <f>E65*MemShare*(1-1/MemoryLever)</f>
        <v/>
      </c>
      <c r="H65" s="6">
        <f>E65*(1-MemShare)*(1-1/ServeComputeLever)</f>
        <v/>
      </c>
      <c r="I65" s="6">
        <f>F65+G65+H65</f>
        <v/>
      </c>
      <c r="J65" s="28">
        <f>'Alphabet'!$C$34</f>
        <v/>
      </c>
      <c r="K65" s="28">
        <f>IF(B65&gt;0,J65*I65/B65,0)</f>
        <v/>
      </c>
      <c r="L65" s="18">
        <f>I65+K65</f>
        <v/>
      </c>
      <c r="M65" s="6">
        <f>'Alphabet'!$C$10+J65</f>
        <v/>
      </c>
      <c r="N65" s="14">
        <f>L65/M65</f>
        <v/>
      </c>
      <c r="O65" s="6">
        <f>'Alphabet'!$C$32</f>
        <v/>
      </c>
      <c r="P65" s="6">
        <f>O65-M65</f>
        <v/>
      </c>
      <c r="Q65" s="18">
        <f>P65+L65</f>
        <v/>
      </c>
    </row>
    <row r="66">
      <c r="A66" s="17" t="inlineStr">
        <is>
          <t>Amazon</t>
        </is>
      </c>
      <c r="B66" s="6">
        <f>'Amazon'!$C$12</f>
        <v/>
      </c>
      <c r="C66" s="14">
        <f>Levers!$C$24</f>
        <v/>
      </c>
      <c r="D66" s="6">
        <f>B66*C66</f>
        <v/>
      </c>
      <c r="E66" s="6">
        <f>B66-D66</f>
        <v/>
      </c>
      <c r="F66" s="6">
        <f>D66*(1-1/TrainLever)</f>
        <v/>
      </c>
      <c r="G66" s="6">
        <f>E66*MemShare*(1-1/MemoryLever)</f>
        <v/>
      </c>
      <c r="H66" s="6">
        <f>E66*(1-MemShare)*(1-1/ServeComputeLever)</f>
        <v/>
      </c>
      <c r="I66" s="6">
        <f>F66+G66+H66</f>
        <v/>
      </c>
      <c r="J66" s="28">
        <f>'Amazon'!$C$34</f>
        <v/>
      </c>
      <c r="K66" s="28">
        <f>IF(B66&gt;0,J66*I66/B66,0)</f>
        <v/>
      </c>
      <c r="L66" s="18">
        <f>I66+K66</f>
        <v/>
      </c>
      <c r="M66" s="6">
        <f>'Amazon'!$C$10+J66</f>
        <v/>
      </c>
      <c r="N66" s="14">
        <f>L66/M66</f>
        <v/>
      </c>
      <c r="O66" s="6">
        <f>'Amazon'!$C$32</f>
        <v/>
      </c>
      <c r="P66" s="6">
        <f>O66-M66</f>
        <v/>
      </c>
      <c r="Q66" s="18">
        <f>P66+L66</f>
        <v/>
      </c>
    </row>
    <row r="67">
      <c r="A67" s="17" t="inlineStr">
        <is>
          <t>Meta</t>
        </is>
      </c>
      <c r="B67" s="6">
        <f>'Meta'!$C$12</f>
        <v/>
      </c>
      <c r="C67" s="14">
        <f>Levers!$C$25</f>
        <v/>
      </c>
      <c r="D67" s="6">
        <f>B67*C67</f>
        <v/>
      </c>
      <c r="E67" s="6">
        <f>B67-D67</f>
        <v/>
      </c>
      <c r="F67" s="6">
        <f>D67*(1-1/TrainLever)</f>
        <v/>
      </c>
      <c r="G67" s="6">
        <f>E67*MemShare*(1-1/MemoryLever)</f>
        <v/>
      </c>
      <c r="H67" s="6">
        <f>E67*(1-MemShare)*(1-1/ServeComputeLever)</f>
        <v/>
      </c>
      <c r="I67" s="6">
        <f>F67+G67+H67</f>
        <v/>
      </c>
      <c r="J67" s="28">
        <f>'Meta'!$C$34</f>
        <v/>
      </c>
      <c r="K67" s="28">
        <f>IF(B67&gt;0,J67*I67/B67,0)</f>
        <v/>
      </c>
      <c r="L67" s="18">
        <f>I67+K67</f>
        <v/>
      </c>
      <c r="M67" s="6">
        <f>'Meta'!$C$10+J67</f>
        <v/>
      </c>
      <c r="N67" s="14">
        <f>L67/M67</f>
        <v/>
      </c>
      <c r="O67" s="6">
        <f>'Meta'!$C$32</f>
        <v/>
      </c>
      <c r="P67" s="6">
        <f>O67-M67</f>
        <v/>
      </c>
      <c r="Q67" s="18">
        <f>P67+L67</f>
        <v/>
      </c>
    </row>
    <row r="68">
      <c r="A68" s="17" t="inlineStr">
        <is>
          <t>Oracle</t>
        </is>
      </c>
      <c r="B68" s="6">
        <f>'Oracle'!$C$12</f>
        <v/>
      </c>
      <c r="C68" s="14">
        <f>Levers!$C$26</f>
        <v/>
      </c>
      <c r="D68" s="6">
        <f>B68*C68</f>
        <v/>
      </c>
      <c r="E68" s="6">
        <f>B68-D68</f>
        <v/>
      </c>
      <c r="F68" s="6">
        <f>D68*(1-1/TrainLever)</f>
        <v/>
      </c>
      <c r="G68" s="6">
        <f>E68*MemShare*(1-1/MemoryLever)</f>
        <v/>
      </c>
      <c r="H68" s="6">
        <f>E68*(1-MemShare)*(1-1/ServeComputeLever)</f>
        <v/>
      </c>
      <c r="I68" s="6">
        <f>F68+G68+H68</f>
        <v/>
      </c>
      <c r="J68" s="28">
        <f>'Oracle'!$C$34</f>
        <v/>
      </c>
      <c r="K68" s="28">
        <f>IF(B68&gt;0,J68*I68/B68,0)</f>
        <v/>
      </c>
      <c r="L68" s="18">
        <f>I68+K68</f>
        <v/>
      </c>
      <c r="M68" s="6">
        <f>'Oracle'!$C$10+J68</f>
        <v/>
      </c>
      <c r="N68" s="14">
        <f>L68/M68</f>
        <v/>
      </c>
      <c r="O68" s="6">
        <f>'Oracle'!$C$32</f>
        <v/>
      </c>
      <c r="P68" s="6">
        <f>O68-M68</f>
        <v/>
      </c>
      <c r="Q68" s="18">
        <f>P68+L68</f>
        <v/>
      </c>
    </row>
    <row r="69">
      <c r="A69" s="17" t="inlineStr">
        <is>
          <t>SpaceX</t>
        </is>
      </c>
      <c r="B69" s="6">
        <f>'SpaceX'!$C$12</f>
        <v/>
      </c>
      <c r="C69" s="14">
        <f>Levers!$C$27</f>
        <v/>
      </c>
      <c r="D69" s="6">
        <f>B69*C69</f>
        <v/>
      </c>
      <c r="E69" s="6">
        <f>B69-D69</f>
        <v/>
      </c>
      <c r="F69" s="6">
        <f>D69*(1-1/TrainLever)</f>
        <v/>
      </c>
      <c r="G69" s="6">
        <f>E69*MemShare*(1-1/MemoryLever)</f>
        <v/>
      </c>
      <c r="H69" s="6">
        <f>E69*(1-MemShare)*(1-1/ServeComputeLever)</f>
        <v/>
      </c>
      <c r="I69" s="6">
        <f>F69+G69+H69</f>
        <v/>
      </c>
      <c r="J69" s="28">
        <f>'SpaceX'!$C$34</f>
        <v/>
      </c>
      <c r="K69" s="28">
        <f>IF(B69&gt;0,J69*I69/B69,0)</f>
        <v/>
      </c>
      <c r="L69" s="18">
        <f>I69+K69</f>
        <v/>
      </c>
      <c r="M69" s="6">
        <f>'SpaceX'!$C$10+J69</f>
        <v/>
      </c>
      <c r="N69" s="14">
        <f>L69/M69</f>
        <v/>
      </c>
      <c r="O69" s="6">
        <f>'SpaceX'!$C$32</f>
        <v/>
      </c>
      <c r="P69" s="6">
        <f>O69-M69</f>
        <v/>
      </c>
      <c r="Q69" s="18">
        <f>P69+L69</f>
        <v/>
      </c>
    </row>
    <row r="70">
      <c r="A70" s="11" t="inlineStr">
        <is>
          <t>TOTAL (6)</t>
        </is>
      </c>
      <c r="B70" s="18">
        <f>SUM(B64:B69)</f>
        <v/>
      </c>
      <c r="C70" s="19">
        <f>D70/B70</f>
        <v/>
      </c>
      <c r="D70" s="18">
        <f>SUM(D64:D69)</f>
        <v/>
      </c>
      <c r="E70" s="18">
        <f>SUM(E64:E69)</f>
        <v/>
      </c>
      <c r="F70" s="18">
        <f>SUM(F64:F69)</f>
        <v/>
      </c>
      <c r="G70" s="18">
        <f>SUM(G64:G69)</f>
        <v/>
      </c>
      <c r="H70" s="18">
        <f>SUM(H64:H69)</f>
        <v/>
      </c>
      <c r="I70" s="18">
        <f>SUM(I64:I69)</f>
        <v/>
      </c>
      <c r="J70" s="29">
        <f>SUM(J64:J69)</f>
        <v/>
      </c>
      <c r="K70" s="29">
        <f>SUM(K64:K69)</f>
        <v/>
      </c>
      <c r="L70" s="18">
        <f>SUM(L64:L69)</f>
        <v/>
      </c>
      <c r="M70" s="18">
        <f>SUM(M64:M69)</f>
        <v/>
      </c>
      <c r="N70" s="19">
        <f>L70/M70</f>
        <v/>
      </c>
      <c r="O70" s="18">
        <f>SUM(O64:O69)</f>
        <v/>
      </c>
      <c r="P70" s="18">
        <f>SUM(P64:P69)</f>
        <v/>
      </c>
      <c r="Q70" s="18">
        <f>SUM(Q64:Q69)</f>
        <v/>
      </c>
    </row>
    <row r="73">
      <c r="A73" s="4" t="inlineStr">
        <is>
          <t>DETAIL BY COMPANY — FY2025 (actual) ($B). The engine behind every number above.</t>
        </is>
      </c>
      <c r="B73" s="5" t="n"/>
      <c r="C73" s="5" t="n"/>
      <c r="D73" s="5" t="n"/>
      <c r="E73" s="5" t="n"/>
      <c r="F73" s="5" t="n"/>
      <c r="G73" s="5" t="n"/>
      <c r="H73" s="5" t="n"/>
      <c r="I73" s="5" t="n"/>
      <c r="J73" s="5" t="n"/>
      <c r="K73" s="5" t="n"/>
      <c r="L73" s="5" t="n"/>
      <c r="M73" s="5" t="n"/>
      <c r="N73" s="5" t="n"/>
      <c r="O73" s="5" t="n"/>
      <c r="P73" s="5" t="n"/>
      <c r="Q73" s="5" t="n"/>
    </row>
    <row r="74" ht="32" customHeight="1">
      <c r="A74" s="16" t="inlineStr">
        <is>
          <t>Company</t>
        </is>
      </c>
      <c r="B74" s="16" t="inlineStr">
        <is>
          <t>AI-chip capex</t>
        </is>
      </c>
      <c r="C74" s="16" t="inlineStr">
        <is>
          <t>Training share</t>
        </is>
      </c>
      <c r="D74" s="16" t="inlineStr">
        <is>
          <t>Training fleet</t>
        </is>
      </c>
      <c r="E74" s="16" t="inlineStr">
        <is>
          <t>Serving fleet</t>
        </is>
      </c>
      <c r="F74" s="16" t="inlineStr">
        <is>
          <t>Training capex avoided</t>
        </is>
      </c>
      <c r="G74" s="16" t="inlineStr">
        <is>
          <t>Serving memory avoided</t>
        </is>
      </c>
      <c r="H74" s="16" t="inlineStr">
        <is>
          <t>Serving compute avoided</t>
        </is>
      </c>
      <c r="I74" s="16" t="inlineStr">
        <is>
          <t>Chip capex avoided</t>
        </is>
      </c>
      <c r="J74" s="16" t="inlineStr">
        <is>
          <t>Power &amp; ops today</t>
        </is>
      </c>
      <c r="K74" s="16" t="inlineStr">
        <is>
          <t>Power &amp; ops saved</t>
        </is>
      </c>
      <c r="L74" s="16" t="inlineStr">
        <is>
          <t>TOTAL spend cut</t>
        </is>
      </c>
      <c r="M74" s="16" t="inlineStr">
        <is>
          <t>AI spend (capex + power)</t>
        </is>
      </c>
      <c r="N74" s="16" t="inlineStr">
        <is>
          <t>% of AI spend cut</t>
        </is>
      </c>
      <c r="O74" s="16" t="inlineStr">
        <is>
          <t>AI revenue</t>
        </is>
      </c>
      <c r="P74" s="16" t="inlineStr">
        <is>
          <t>Net AI today</t>
        </is>
      </c>
      <c r="Q74" s="16" t="inlineStr">
        <is>
          <t>Net AI with Helarctos</t>
        </is>
      </c>
    </row>
    <row r="75">
      <c r="A75" s="17" t="inlineStr">
        <is>
          <t>Microsoft</t>
        </is>
      </c>
      <c r="B75" s="6">
        <f>'Microsoft'!$B$12</f>
        <v/>
      </c>
      <c r="C75" s="14">
        <f>Levers!$C$22</f>
        <v/>
      </c>
      <c r="D75" s="6">
        <f>B75*C75</f>
        <v/>
      </c>
      <c r="E75" s="6">
        <f>B75-D75</f>
        <v/>
      </c>
      <c r="F75" s="6">
        <f>D75*(1-1/TrainLever)</f>
        <v/>
      </c>
      <c r="G75" s="6">
        <f>E75*MemShare*(1-1/MemoryLever)</f>
        <v/>
      </c>
      <c r="H75" s="6">
        <f>E75*(1-MemShare)*(1-1/ServeComputeLever)</f>
        <v/>
      </c>
      <c r="I75" s="6">
        <f>F75+G75+H75</f>
        <v/>
      </c>
      <c r="J75" s="28">
        <f>'Microsoft'!$B$34</f>
        <v/>
      </c>
      <c r="K75" s="28">
        <f>IF(B75&gt;0,J75*I75/B75,0)</f>
        <v/>
      </c>
      <c r="L75" s="18">
        <f>I75+K75</f>
        <v/>
      </c>
      <c r="M75" s="6">
        <f>'Microsoft'!$B$10+J75</f>
        <v/>
      </c>
      <c r="N75" s="14">
        <f>L75/M75</f>
        <v/>
      </c>
      <c r="O75" s="6">
        <f>'Microsoft'!$B$32</f>
        <v/>
      </c>
      <c r="P75" s="6">
        <f>O75-M75</f>
        <v/>
      </c>
      <c r="Q75" s="18">
        <f>P75+L75</f>
        <v/>
      </c>
    </row>
    <row r="76">
      <c r="A76" s="17" t="inlineStr">
        <is>
          <t>Alphabet</t>
        </is>
      </c>
      <c r="B76" s="6">
        <f>'Alphabet'!$B$12</f>
        <v/>
      </c>
      <c r="C76" s="14">
        <f>Levers!$C$23</f>
        <v/>
      </c>
      <c r="D76" s="6">
        <f>B76*C76</f>
        <v/>
      </c>
      <c r="E76" s="6">
        <f>B76-D76</f>
        <v/>
      </c>
      <c r="F76" s="6">
        <f>D76*(1-1/TrainLever)</f>
        <v/>
      </c>
      <c r="G76" s="6">
        <f>E76*MemShare*(1-1/MemoryLever)</f>
        <v/>
      </c>
      <c r="H76" s="6">
        <f>E76*(1-MemShare)*(1-1/ServeComputeLever)</f>
        <v/>
      </c>
      <c r="I76" s="6">
        <f>F76+G76+H76</f>
        <v/>
      </c>
      <c r="J76" s="28">
        <f>'Alphabet'!$B$34</f>
        <v/>
      </c>
      <c r="K76" s="28">
        <f>IF(B76&gt;0,J76*I76/B76,0)</f>
        <v/>
      </c>
      <c r="L76" s="18">
        <f>I76+K76</f>
        <v/>
      </c>
      <c r="M76" s="6">
        <f>'Alphabet'!$B$10+J76</f>
        <v/>
      </c>
      <c r="N76" s="14">
        <f>L76/M76</f>
        <v/>
      </c>
      <c r="O76" s="6">
        <f>'Alphabet'!$B$32</f>
        <v/>
      </c>
      <c r="P76" s="6">
        <f>O76-M76</f>
        <v/>
      </c>
      <c r="Q76" s="18">
        <f>P76+L76</f>
        <v/>
      </c>
    </row>
    <row r="77">
      <c r="A77" s="17" t="inlineStr">
        <is>
          <t>Amazon</t>
        </is>
      </c>
      <c r="B77" s="6">
        <f>'Amazon'!$B$12</f>
        <v/>
      </c>
      <c r="C77" s="14">
        <f>Levers!$C$24</f>
        <v/>
      </c>
      <c r="D77" s="6">
        <f>B77*C77</f>
        <v/>
      </c>
      <c r="E77" s="6">
        <f>B77-D77</f>
        <v/>
      </c>
      <c r="F77" s="6">
        <f>D77*(1-1/TrainLever)</f>
        <v/>
      </c>
      <c r="G77" s="6">
        <f>E77*MemShare*(1-1/MemoryLever)</f>
        <v/>
      </c>
      <c r="H77" s="6">
        <f>E77*(1-MemShare)*(1-1/ServeComputeLever)</f>
        <v/>
      </c>
      <c r="I77" s="6">
        <f>F77+G77+H77</f>
        <v/>
      </c>
      <c r="J77" s="28">
        <f>'Amazon'!$B$34</f>
        <v/>
      </c>
      <c r="K77" s="28">
        <f>IF(B77&gt;0,J77*I77/B77,0)</f>
        <v/>
      </c>
      <c r="L77" s="18">
        <f>I77+K77</f>
        <v/>
      </c>
      <c r="M77" s="6">
        <f>'Amazon'!$B$10+J77</f>
        <v/>
      </c>
      <c r="N77" s="14">
        <f>L77/M77</f>
        <v/>
      </c>
      <c r="O77" s="6">
        <f>'Amazon'!$B$32</f>
        <v/>
      </c>
      <c r="P77" s="6">
        <f>O77-M77</f>
        <v/>
      </c>
      <c r="Q77" s="18">
        <f>P77+L77</f>
        <v/>
      </c>
    </row>
    <row r="78">
      <c r="A78" s="17" t="inlineStr">
        <is>
          <t>Meta</t>
        </is>
      </c>
      <c r="B78" s="6">
        <f>'Meta'!$B$12</f>
        <v/>
      </c>
      <c r="C78" s="14">
        <f>Levers!$C$25</f>
        <v/>
      </c>
      <c r="D78" s="6">
        <f>B78*C78</f>
        <v/>
      </c>
      <c r="E78" s="6">
        <f>B78-D78</f>
        <v/>
      </c>
      <c r="F78" s="6">
        <f>D78*(1-1/TrainLever)</f>
        <v/>
      </c>
      <c r="G78" s="6">
        <f>E78*MemShare*(1-1/MemoryLever)</f>
        <v/>
      </c>
      <c r="H78" s="6">
        <f>E78*(1-MemShare)*(1-1/ServeComputeLever)</f>
        <v/>
      </c>
      <c r="I78" s="6">
        <f>F78+G78+H78</f>
        <v/>
      </c>
      <c r="J78" s="28">
        <f>'Meta'!$B$34</f>
        <v/>
      </c>
      <c r="K78" s="28">
        <f>IF(B78&gt;0,J78*I78/B78,0)</f>
        <v/>
      </c>
      <c r="L78" s="18">
        <f>I78+K78</f>
        <v/>
      </c>
      <c r="M78" s="6">
        <f>'Meta'!$B$10+J78</f>
        <v/>
      </c>
      <c r="N78" s="14">
        <f>L78/M78</f>
        <v/>
      </c>
      <c r="O78" s="6">
        <f>'Meta'!$B$32</f>
        <v/>
      </c>
      <c r="P78" s="6">
        <f>O78-M78</f>
        <v/>
      </c>
      <c r="Q78" s="18">
        <f>P78+L78</f>
        <v/>
      </c>
    </row>
    <row r="79">
      <c r="A79" s="17" t="inlineStr">
        <is>
          <t>Oracle</t>
        </is>
      </c>
      <c r="B79" s="6">
        <f>'Oracle'!$B$12</f>
        <v/>
      </c>
      <c r="C79" s="14">
        <f>Levers!$C$26</f>
        <v/>
      </c>
      <c r="D79" s="6">
        <f>B79*C79</f>
        <v/>
      </c>
      <c r="E79" s="6">
        <f>B79-D79</f>
        <v/>
      </c>
      <c r="F79" s="6">
        <f>D79*(1-1/TrainLever)</f>
        <v/>
      </c>
      <c r="G79" s="6">
        <f>E79*MemShare*(1-1/MemoryLever)</f>
        <v/>
      </c>
      <c r="H79" s="6">
        <f>E79*(1-MemShare)*(1-1/ServeComputeLever)</f>
        <v/>
      </c>
      <c r="I79" s="6">
        <f>F79+G79+H79</f>
        <v/>
      </c>
      <c r="J79" s="28">
        <f>'Oracle'!$B$34</f>
        <v/>
      </c>
      <c r="K79" s="28">
        <f>IF(B79&gt;0,J79*I79/B79,0)</f>
        <v/>
      </c>
      <c r="L79" s="18">
        <f>I79+K79</f>
        <v/>
      </c>
      <c r="M79" s="6">
        <f>'Oracle'!$B$10+J79</f>
        <v/>
      </c>
      <c r="N79" s="14">
        <f>L79/M79</f>
        <v/>
      </c>
      <c r="O79" s="6">
        <f>'Oracle'!$B$32</f>
        <v/>
      </c>
      <c r="P79" s="6">
        <f>O79-M79</f>
        <v/>
      </c>
      <c r="Q79" s="18">
        <f>P79+L79</f>
        <v/>
      </c>
    </row>
    <row r="80">
      <c r="A80" s="17" t="inlineStr">
        <is>
          <t>SpaceX</t>
        </is>
      </c>
      <c r="B80" s="6">
        <f>'SpaceX'!$B$12</f>
        <v/>
      </c>
      <c r="C80" s="14">
        <f>Levers!$C$27</f>
        <v/>
      </c>
      <c r="D80" s="6">
        <f>B80*C80</f>
        <v/>
      </c>
      <c r="E80" s="6">
        <f>B80-D80</f>
        <v/>
      </c>
      <c r="F80" s="6">
        <f>D80*(1-1/TrainLever)</f>
        <v/>
      </c>
      <c r="G80" s="6">
        <f>E80*MemShare*(1-1/MemoryLever)</f>
        <v/>
      </c>
      <c r="H80" s="6">
        <f>E80*(1-MemShare)*(1-1/ServeComputeLever)</f>
        <v/>
      </c>
      <c r="I80" s="6">
        <f>F80+G80+H80</f>
        <v/>
      </c>
      <c r="J80" s="28">
        <f>'SpaceX'!$B$34</f>
        <v/>
      </c>
      <c r="K80" s="28">
        <f>IF(B80&gt;0,J80*I80/B80,0)</f>
        <v/>
      </c>
      <c r="L80" s="18">
        <f>I80+K80</f>
        <v/>
      </c>
      <c r="M80" s="6">
        <f>'SpaceX'!$B$10+J80</f>
        <v/>
      </c>
      <c r="N80" s="14">
        <f>L80/M80</f>
        <v/>
      </c>
      <c r="O80" s="6">
        <f>'SpaceX'!$B$32</f>
        <v/>
      </c>
      <c r="P80" s="6">
        <f>O80-M80</f>
        <v/>
      </c>
      <c r="Q80" s="18">
        <f>P80+L80</f>
        <v/>
      </c>
    </row>
    <row r="81">
      <c r="A81" s="11" t="inlineStr">
        <is>
          <t>TOTAL (6)</t>
        </is>
      </c>
      <c r="B81" s="18">
        <f>SUM(B75:B80)</f>
        <v/>
      </c>
      <c r="C81" s="19">
        <f>D81/B81</f>
        <v/>
      </c>
      <c r="D81" s="18">
        <f>SUM(D75:D80)</f>
        <v/>
      </c>
      <c r="E81" s="18">
        <f>SUM(E75:E80)</f>
        <v/>
      </c>
      <c r="F81" s="18">
        <f>SUM(F75:F80)</f>
        <v/>
      </c>
      <c r="G81" s="18">
        <f>SUM(G75:G80)</f>
        <v/>
      </c>
      <c r="H81" s="18">
        <f>SUM(H75:H80)</f>
        <v/>
      </c>
      <c r="I81" s="18">
        <f>SUM(I75:I80)</f>
        <v/>
      </c>
      <c r="J81" s="29">
        <f>SUM(J75:J80)</f>
        <v/>
      </c>
      <c r="K81" s="29">
        <f>SUM(K75:K80)</f>
        <v/>
      </c>
      <c r="L81" s="18">
        <f>SUM(L75:L80)</f>
        <v/>
      </c>
      <c r="M81" s="18">
        <f>SUM(M75:M80)</f>
        <v/>
      </c>
      <c r="N81" s="19">
        <f>L81/M81</f>
        <v/>
      </c>
      <c r="O81" s="18">
        <f>SUM(O75:O80)</f>
        <v/>
      </c>
      <c r="P81" s="18">
        <f>SUM(P75:P80)</f>
        <v/>
      </c>
      <c r="Q81" s="18">
        <f>SUM(Q75:Q80)</f>
        <v/>
      </c>
    </row>
  </sheetData>
  <mergeCells count="18">
    <mergeCell ref="D19:I19"/>
    <mergeCell ref="D10:I10"/>
    <mergeCell ref="A2:I2"/>
    <mergeCell ref="D20:I20"/>
    <mergeCell ref="D13:I13"/>
    <mergeCell ref="D5:I5"/>
    <mergeCell ref="D18:I18"/>
    <mergeCell ref="D41:I41"/>
    <mergeCell ref="D9:I9"/>
    <mergeCell ref="D21:I21"/>
    <mergeCell ref="D45:I45"/>
    <mergeCell ref="A31:I31"/>
    <mergeCell ref="D35:I35"/>
    <mergeCell ref="D6:I6"/>
    <mergeCell ref="A55:I55"/>
    <mergeCell ref="D60:I60"/>
    <mergeCell ref="D7:I7"/>
    <mergeCell ref="A24:I2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34"/>
  <sheetViews>
    <sheetView workbookViewId="0">
      <pane ySplit="6" topLeftCell="A7" activePane="bottomLeft" state="frozen"/>
      <selection pane="bottomLeft" activeCell="A1" sqref="A1"/>
    </sheetView>
  </sheetViews>
  <sheetFormatPr baseColWidth="8" defaultRowHeight="15"/>
  <cols>
    <col width="4" customWidth="1" min="1" max="1"/>
    <col width="40" customWidth="1" min="2" max="2"/>
    <col width="12" customWidth="1" min="3" max="3"/>
    <col width="12" customWidth="1" min="4" max="4"/>
    <col width="14" customWidth="1" min="5" max="5"/>
    <col width="24" customWidth="1" min="6" max="6"/>
    <col width="72" customWidth="1" min="7" max="7"/>
    <col width="28" customWidth="1" min="8" max="8"/>
  </cols>
  <sheetData>
    <row r="1" ht="30" customHeight="1">
      <c r="A1" s="1" t="inlineStr">
        <is>
          <t>HELARCTOS LEVERS — the five things our architecture changes, in plain English</t>
        </is>
      </c>
      <c r="B1" s="2" t="n"/>
      <c r="C1" s="2" t="n"/>
      <c r="D1" s="2" t="n"/>
      <c r="E1" s="2" t="n"/>
      <c r="F1" s="2" t="n"/>
      <c r="G1" s="2" t="n"/>
      <c r="H1" s="2" t="n"/>
    </row>
    <row r="2" ht="48" customHeight="1">
      <c r="A2" s="3" t="inlineStr">
        <is>
          <t>Every dollar in this workbook comes from five levers. Each is shown with its value, how sure we are of it (MEASURED on our hardware runs, PROJECTED from measured trends, or an ESTIMATE / TARGET awaiting measurement), what it means, and which part of the AI bill it shrinks. Blue cells are linked to the technical Inputs tab; yellow cells are assumptions you can edit.</t>
        </is>
      </c>
    </row>
    <row r="4" ht="32" customHeight="1">
      <c r="B4" s="7" t="inlineStr">
        <is>
          <t>Scenario (pick from the list)</t>
        </is>
      </c>
      <c r="C4" s="30" t="inlineStr">
        <is>
          <t>Today</t>
        </is>
      </c>
      <c r="D4" s="3" t="inlineStr">
        <is>
          <t>Today = the software kernels we have already built and measured. Optimized kernels = our funded kernel programme lands (a TARGET, not yet measured). The dollars differ by under 1%.</t>
        </is>
      </c>
    </row>
    <row r="6">
      <c r="A6" s="16" t="inlineStr">
        <is>
          <t>#</t>
        </is>
      </c>
      <c r="B6" s="16" t="inlineStr">
        <is>
          <t>Lever</t>
        </is>
      </c>
      <c r="C6" s="16" t="inlineStr">
        <is>
          <t>Active</t>
        </is>
      </c>
      <c r="D6" s="16" t="inlineStr">
        <is>
          <t>Today</t>
        </is>
      </c>
      <c r="E6" s="16" t="inlineStr">
        <is>
          <t>Optimized kernels</t>
        </is>
      </c>
      <c r="F6" s="16" t="inlineStr">
        <is>
          <t>How sure are we?</t>
        </is>
      </c>
      <c r="G6" s="16" t="inlineStr">
        <is>
          <t>What it means</t>
        </is>
      </c>
      <c r="H6" s="16" t="inlineStr">
        <is>
          <t>Where it saves money</t>
        </is>
      </c>
    </row>
    <row r="7" ht="78" customHeight="1">
      <c r="A7" s="17" t="inlineStr">
        <is>
          <t>1</t>
        </is>
      </c>
      <c r="B7" s="27" t="inlineStr">
        <is>
          <t>Smaller model for the same quality</t>
        </is>
      </c>
      <c r="C7" s="22">
        <f>IF(Scenario="Today",D7,E7)</f>
        <v/>
      </c>
      <c r="D7" s="21">
        <f>Inputs!$B$23</f>
        <v/>
      </c>
      <c r="E7" s="21">
        <f>Inputs!$B$23</f>
        <v/>
      </c>
      <c r="F7" s="24" t="inlineStr">
        <is>
          <t>PROJECTED — trend fitted on models we trained (47M–663M parameters), extended to frontier scale</t>
        </is>
      </c>
      <c r="G7" s="24" t="inlineStr">
        <is>
          <t>We measured how quality improves with size for both architectures. Extending both trends, a Helarctos model matches a 1-trillion-parameter transformer with ~24% of the parameters — 4.2× fewer numbers to store, update and run.</t>
        </is>
      </c>
      <c r="H7" s="24" t="inlineStr">
        <is>
          <t>Training AND serving compute</t>
        </is>
      </c>
    </row>
    <row r="8" ht="78" customHeight="1">
      <c r="A8" s="17" t="inlineStr">
        <is>
          <t>2</t>
        </is>
      </c>
      <c r="B8" s="27" t="inlineStr">
        <is>
          <t>Fewer training tokens needed</t>
        </is>
      </c>
      <c r="C8" s="22">
        <f>IF(Scenario="Today",D8,E8)</f>
        <v/>
      </c>
      <c r="D8" s="21">
        <f>D7</f>
        <v/>
      </c>
      <c r="E8" s="21">
        <f>E7</f>
        <v/>
      </c>
      <c r="F8" s="24" t="inlineStr">
        <is>
          <t>PROJECTED — standard compute-optimal scaling (training data grows in step with model size)</t>
        </is>
      </c>
      <c r="G8" s="24" t="inlineStr">
        <is>
          <t>Frontier labs train each model on data in proportion to its size. A model 4.2× smaller reaches its best quality on ~4.2× fewer tokens.</t>
        </is>
      </c>
      <c r="H8" s="24" t="inlineStr">
        <is>
          <t>Training</t>
        </is>
      </c>
    </row>
    <row r="9" ht="78" customHeight="1">
      <c r="A9" s="17" t="inlineStr">
        <is>
          <t>3</t>
        </is>
      </c>
      <c r="B9" s="27" t="inlineStr">
        <is>
          <t>Faster training per token on long documents</t>
        </is>
      </c>
      <c r="C9" s="22">
        <f>IF(Scenario="Today",D9,E9)</f>
        <v/>
      </c>
      <c r="D9" s="31" t="n">
        <v>2.220667013967386</v>
      </c>
      <c r="E9" s="31" t="n">
        <v>3.967000451897755</v>
      </c>
      <c r="F9" s="24" t="inlineStr">
        <is>
          <t>Today: MEASURED cost per token at each document length; the training mix is illustrative. Optimized: TARGET</t>
        </is>
      </c>
      <c r="G9" s="24" t="inlineStr">
        <is>
          <t>A transformer's cost per token rises with document length (each token looks back over all the earlier ones); Helarctos' stays flat. Over a modern training mix (70% at 8k / 20% at 64k / 10% at 256k tokens) that is 2.2× cheaper per token. On short documents alone the transformer is still faster today (0.58× at 2k tokens).</t>
        </is>
      </c>
      <c r="H9" s="24" t="inlineStr">
        <is>
          <t>Training</t>
        </is>
      </c>
    </row>
    <row r="10" ht="78" customHeight="1">
      <c r="A10" s="17" t="inlineStr">
        <is>
          <t>4</t>
        </is>
      </c>
      <c r="B10" s="27" t="inlineStr">
        <is>
          <t>Memory per live conversation</t>
        </is>
      </c>
      <c r="C10" s="32">
        <f>IF(Scenario="Today",D10,E10)</f>
        <v/>
      </c>
      <c r="D10" s="23">
        <f>Inputs!$B$2</f>
        <v/>
      </c>
      <c r="E10" s="23">
        <f>Inputs!$B$2</f>
        <v/>
      </c>
      <c r="F10" s="24" t="inlineStr">
        <is>
          <t>MEASURED — 2,000× at 262k tokens; we use ÷100 to stay conservative</t>
        </is>
      </c>
      <c r="G10" s="24" t="inlineStr">
        <is>
          <t>A transformer keeps a memory (the 'KV cache') that grows with every token of every live conversation: ~197 KB per token, ~51 GB for one 262k-token conversation. Helarctos keeps a fixed-size state (~25 MB) however long the conversation gets.</t>
        </is>
      </c>
      <c r="H10" s="24" t="inlineStr">
        <is>
          <t>Serving memory (≈60% of a GPU's cost)</t>
        </is>
      </c>
    </row>
    <row r="11" ht="78" customHeight="1">
      <c r="A11" s="17" t="inlineStr">
        <is>
          <t>5</t>
        </is>
      </c>
      <c r="B11" s="27" t="inlineStr">
        <is>
          <t>More conversations served per GPU</t>
        </is>
      </c>
      <c r="C11" s="22">
        <f>IF(Scenario="Today",D11,E11)</f>
        <v/>
      </c>
      <c r="D11" s="21">
        <f>Inputs!$B$24/Inputs!$B$23</f>
        <v/>
      </c>
      <c r="E11" s="21">
        <f>Inputs!$B$25/Inputs!$B$23</f>
        <v/>
      </c>
      <c r="F11" s="24" t="inlineStr">
        <is>
          <t>ESTIMATE — built on MEASURED concurrency and prompt-processing speed; per-token generation speed is an engineering estimate awaiting measurement</t>
        </is>
      </c>
      <c r="G11" s="24" t="inlineStr">
        <is>
          <t>Small per-conversation memory lets one GPU hold many long conversations at once (64 where a transformer fits 1–2 at 262k), and no growing cache is re-read for each new token. At the same model size: ~12× more tokens per GPU at an 8k-token average context, ~188× at 128k (used here), ~368× at 256k.</t>
        </is>
      </c>
      <c r="H11" s="24" t="inlineStr">
        <is>
          <t>Serving compute (≈40% of a GPU's cost)</t>
        </is>
      </c>
    </row>
    <row r="13">
      <c r="A13" s="4" t="inlineStr">
        <is>
          <t>HOW THE LEVERS COMBINE — one number per fleet</t>
        </is>
      </c>
      <c r="B13" s="5" t="n"/>
      <c r="C13" s="5" t="n"/>
      <c r="D13" s="5" t="n"/>
      <c r="E13" s="5" t="n"/>
      <c r="F13" s="5" t="n"/>
      <c r="G13" s="5" t="n"/>
      <c r="H13" s="5" t="n"/>
    </row>
    <row r="14" ht="30" customHeight="1">
      <c r="B14" s="27" t="inlineStr">
        <is>
          <t>Training: GPU-hours per training run fall by</t>
        </is>
      </c>
      <c r="C14" s="22">
        <f>SmallerModel*FewerTokens*TrainSpeed</f>
        <v/>
      </c>
      <c r="D14" s="3" t="inlineStr">
        <is>
          <t>lever 1 × lever 2 × lever 3. Training clusters are sized to GPU-hours, so the training fleet can shrink by this much for the same training programme.</t>
        </is>
      </c>
    </row>
    <row r="15" ht="30" customHeight="1">
      <c r="B15" s="27" t="inlineStr">
        <is>
          <t>Serving: memory needed falls by</t>
        </is>
      </c>
      <c r="C15" s="32">
        <f>MemoryLever</f>
        <v/>
      </c>
      <c r="D15" s="3" t="inlineStr">
        <is>
          <t>lever 4</t>
        </is>
      </c>
    </row>
    <row r="16" ht="30" customHeight="1">
      <c r="B16" s="27" t="inlineStr">
        <is>
          <t>Serving: compute needed falls by</t>
        </is>
      </c>
      <c r="C16" s="22">
        <f>SmallerModel*ServeThroughput</f>
        <v/>
      </c>
      <c r="D16" s="3" t="inlineStr">
        <is>
          <t>lever 1 × lever 5</t>
        </is>
      </c>
    </row>
    <row r="17" ht="30" customHeight="1">
      <c r="B17" s="27" t="inlineStr">
        <is>
          <t>Memory share of a GPU's cost</t>
        </is>
      </c>
      <c r="C17" s="19">
        <f>Inputs!$B$4</f>
        <v/>
      </c>
      <c r="D17" s="3" t="inlineStr">
        <is>
          <t>HBM memory + its packaging ≈ 60%, the compute die ≈ 40% (chip teardowns; see Evidence).</t>
        </is>
      </c>
    </row>
    <row r="18" ht="30" customHeight="1">
      <c r="B18" s="27" t="inlineStr">
        <is>
          <t>Serving: fleet cost falls by (blended)</t>
        </is>
      </c>
      <c r="C18" s="22">
        <f>1/(MemShare/MemoryLever+(1-MemShare)/ServeComputeLever)</f>
        <v/>
      </c>
      <c r="D18" s="3" t="inlineStr">
        <is>
          <t>Costs add, they don't multiply: the less-improved part (here memory) sets the floor. This is why 100× and 793× combine to ~154×, not 79,000×.</t>
        </is>
      </c>
    </row>
    <row r="20">
      <c r="A20" s="4" t="inlineStr">
        <is>
          <t>TRAINING SHARE OF EACH COMPANY'S AI-CHIP FLEET — estimates (no company discloses this)</t>
        </is>
      </c>
      <c r="B20" s="5" t="n"/>
      <c r="C20" s="5" t="n"/>
      <c r="D20" s="5" t="n"/>
      <c r="E20" s="5" t="n"/>
      <c r="F20" s="5" t="n"/>
      <c r="G20" s="5" t="n"/>
      <c r="H20" s="5" t="n"/>
    </row>
    <row r="21" ht="30" customHeight="1">
      <c r="A21" s="3" t="inlineStr">
        <is>
          <t>Analysts put training at 30–45% of AI compute in 2026 (Gartner, Deloitte; the rest is serving users). Per-company estimates below follow what each firm is known to be building.</t>
        </is>
      </c>
    </row>
    <row r="22">
      <c r="B22" s="17" t="inlineStr">
        <is>
          <t>Microsoft</t>
        </is>
      </c>
      <c r="C22" s="33" t="n">
        <v>0.25</v>
      </c>
      <c r="D22" s="3" t="inlineStr">
        <is>
          <t>Inference-tilted: Azure serves the OpenAI API and Copilot; frontier training is moving to dedicated Stargate sites.</t>
        </is>
      </c>
    </row>
    <row r="23">
      <c r="B23" s="17" t="inlineStr">
        <is>
          <t>Alphabet</t>
        </is>
      </c>
      <c r="C23" s="33" t="n">
        <v>0.35</v>
      </c>
      <c r="D23" s="3" t="inlineStr">
        <is>
          <t>Trains Gemini on TPUs, but runs the largest inference estate (Search, ads, Cloud).</t>
        </is>
      </c>
    </row>
    <row r="24">
      <c r="B24" s="17" t="inlineStr">
        <is>
          <t>Amazon</t>
        </is>
      </c>
      <c r="C24" s="33" t="n">
        <v>0.35</v>
      </c>
      <c r="D24" s="3" t="inlineStr">
        <is>
          <t>Hosts large training clusters (Trainium) inside a broad AWS inference-rental business.</t>
        </is>
      </c>
    </row>
    <row r="25">
      <c r="B25" s="17" t="inlineStr">
        <is>
          <t>Meta</t>
        </is>
      </c>
      <c r="C25" s="33" t="n">
        <v>0.45</v>
      </c>
      <c r="D25" s="3" t="inlineStr">
        <is>
          <t>FY26 capex raise is driven by frontier training clusters, on top of ads-ranking inference.</t>
        </is>
      </c>
    </row>
    <row r="26">
      <c r="B26" s="17" t="inlineStr">
        <is>
          <t>Oracle</t>
        </is>
      </c>
      <c r="C26" s="33" t="n">
        <v>0.55</v>
      </c>
      <c r="D26" s="3" t="inlineStr">
        <is>
          <t>Stargate's dedicated OpenAI training data centres run on OCI.</t>
        </is>
      </c>
    </row>
    <row r="27">
      <c r="B27" s="17" t="inlineStr">
        <is>
          <t>SpaceX</t>
        </is>
      </c>
      <c r="C27" s="33" t="n">
        <v>0.5</v>
      </c>
      <c r="D27" s="3" t="inlineStr">
        <is>
          <t>Greenfield build (Colossus); early workloads are training-heavy.</t>
        </is>
      </c>
    </row>
    <row r="29">
      <c r="A29" s="4" t="inlineStr">
        <is>
          <t>FINE PRINT — what this does and does not claim</t>
        </is>
      </c>
      <c r="B29" s="5" t="n"/>
      <c r="C29" s="5" t="n"/>
      <c r="D29" s="5" t="n"/>
      <c r="E29" s="5" t="n"/>
      <c r="F29" s="5" t="n"/>
      <c r="G29" s="5" t="n"/>
      <c r="H29" s="5" t="n"/>
    </row>
    <row r="30" ht="30" customHeight="1">
      <c r="A30" t="inlineStr">
        <is>
          <t>•</t>
        </is>
      </c>
      <c r="B30" s="3" t="inlineStr">
        <is>
          <t>Only the AI chips (and the power they draw) are counted. The buildings, power infrastructure, cooling and networking around them would also shrink — that is upside, not in these numbers.</t>
        </is>
      </c>
    </row>
    <row r="31" ht="30" customHeight="1">
      <c r="A31" t="inlineStr">
        <is>
          <t>•</t>
        </is>
      </c>
      <c r="B31" s="3" t="inlineStr">
        <is>
          <t>No memory credit is taken on training clusters: training is priced purely on GPU-hours.</t>
        </is>
      </c>
    </row>
    <row r="32" ht="30" customHeight="1">
      <c r="A32" t="inlineStr">
        <is>
          <t>•</t>
        </is>
      </c>
      <c r="B32" s="3" t="inlineStr">
        <is>
          <t>Lever 1 is a projection: the quality trends are measured up to 663M parameters and extended to trillion-parameter scale.</t>
        </is>
      </c>
    </row>
    <row r="33" ht="30" customHeight="1">
      <c r="A33" t="inlineStr">
        <is>
          <t>•</t>
        </is>
      </c>
      <c r="B33" s="3" t="inlineStr">
        <is>
          <t>The saving is spend no longer needed for the same AI output. In practice firms will likely reinvest it in more AI rather than cut budgets.</t>
        </is>
      </c>
    </row>
    <row r="34" ht="30" customHeight="1">
      <c r="A34" t="inlineStr">
        <is>
          <t>•</t>
        </is>
      </c>
      <c r="B34" s="3" t="inlineStr">
        <is>
          <t>Cash basis. 'Capitalized' = annual saving ÷ discount rate (6%, roughly the long-bond yield).</t>
        </is>
      </c>
    </row>
  </sheetData>
  <mergeCells count="19">
    <mergeCell ref="B30:H30"/>
    <mergeCell ref="B33:H33"/>
    <mergeCell ref="D22:H22"/>
    <mergeCell ref="B32:H32"/>
    <mergeCell ref="D27:H27"/>
    <mergeCell ref="B31:H31"/>
    <mergeCell ref="D17:H17"/>
    <mergeCell ref="A21:H21"/>
    <mergeCell ref="D16:H16"/>
    <mergeCell ref="A2:H2"/>
    <mergeCell ref="D4:H4"/>
    <mergeCell ref="D18:H18"/>
    <mergeCell ref="D25:H25"/>
    <mergeCell ref="D15:H15"/>
    <mergeCell ref="D24:H24"/>
    <mergeCell ref="D23:H23"/>
    <mergeCell ref="D14:H14"/>
    <mergeCell ref="B34:H34"/>
    <mergeCell ref="D26:H26"/>
  </mergeCells>
  <dataValidations count="1">
    <dataValidation sqref="C4" showDropDown="0" showInputMessage="0" showErrorMessage="0" allowBlank="0" type="list">
      <formula1>"Today,Optimized kernels"</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Microsoft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88</v>
      </c>
      <c r="C3" s="37"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33" t="n">
        <v>1</v>
      </c>
      <c r="C4" s="33" t="n">
        <v>1</v>
      </c>
      <c r="D4" s="3" t="inlineStr">
        <is>
          <t>strips non-AI (Amazon = AWS only)</t>
        </is>
      </c>
    </row>
    <row r="5">
      <c r="A5" t="inlineStr">
        <is>
          <t>Server / short-lived share</t>
        </is>
      </c>
      <c r="B5" s="33" t="n">
        <v>0.5</v>
      </c>
      <c r="C5" s="33" t="n">
        <v>0.67</v>
      </c>
      <c r="D5" s="3" t="inlineStr">
        <is>
          <t>CFO-disclosed (MSFT rose 50%-&gt;67%)</t>
        </is>
      </c>
    </row>
    <row r="6">
      <c r="A6" t="inlineStr">
        <is>
          <t>Accelerator share within servers</t>
        </is>
      </c>
      <c r="B6" s="33" t="n">
        <v>0.75</v>
      </c>
      <c r="C6" s="33" t="n">
        <v>0.75</v>
      </c>
      <c r="D6" s="3" t="inlineStr">
        <is>
          <t>from BOM teardowns (~67-80%)</t>
        </is>
      </c>
    </row>
    <row r="7">
      <c r="A7" t="inlineStr">
        <is>
          <t>Market cap ($B, approx)</t>
        </is>
      </c>
      <c r="B7" s="38" t="n">
        <v>3700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30</v>
      </c>
      <c r="C32" s="37" t="n">
        <v>50</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&gt;$88B incl leases; server life 2-6yr (FY25 10-K)</t>
        </is>
      </c>
      <c r="B41" s="45" t="inlineStr">
        <is>
          <t>https://www.sec.gov/Archives/edgar/data/789019/000095017025100235/msft-20250630.htm</t>
        </is>
      </c>
    </row>
    <row r="42">
      <c r="A42" s="3" t="inlineStr">
        <is>
          <t>FY26 ~$190B guide; 'two-thirds' short-lived = GPUs+CPUs (Q3 FY26 call)</t>
        </is>
      </c>
      <c r="B42" s="45" t="inlineStr">
        <is>
          <t>https://www.fool.com/earnings/call-transcripts/2026/04/29/microsoft-msft-q3-2026-earnings-transcript/</t>
        </is>
      </c>
    </row>
    <row r="43">
      <c r="A43" s="3" t="inlineStr">
        <is>
          <t>AI revenue $37B annual run-rate (Q3 FY26)</t>
        </is>
      </c>
      <c r="B43" s="45" t="inlineStr">
        <is>
          <t>https://news.alphastreet.com/microsoft-msft-q3-fy2026-azure-hits-40-growth-as-ai-business-reaches-37-billion-run-rate/</t>
        </is>
      </c>
    </row>
    <row r="44">
      <c r="A44" s="3" t="inlineStr">
        <is>
          <t>~485k Hopper GPUs / ~$31B in 2024 (Omdia) - cross-checks accel capex</t>
        </is>
      </c>
      <c r="B44" s="45"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5.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Alphabet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91.40000000000001</v>
      </c>
      <c r="C3" s="37" t="n">
        <v>185</v>
      </c>
      <c r="D3" s="3" t="inlineStr">
        <is>
          <t>FY25 capex $91.4B [DISCLOSED]; FY26 $180-190B guide. 60% servers / 40% DC (CFO). Accel ~67% [BOM]. AI rev ESTIMATE (Cloud $70B run-rate, AI subset).</t>
        </is>
      </c>
    </row>
    <row r="4">
      <c r="A4" t="inlineStr">
        <is>
          <t>Infra / data-center share</t>
        </is>
      </c>
      <c r="B4" s="33" t="n">
        <v>1</v>
      </c>
      <c r="C4" s="33" t="n">
        <v>1</v>
      </c>
      <c r="D4" s="3" t="inlineStr">
        <is>
          <t>strips non-AI (Amazon = AWS only)</t>
        </is>
      </c>
    </row>
    <row r="5">
      <c r="A5" t="inlineStr">
        <is>
          <t>Server / short-lived share</t>
        </is>
      </c>
      <c r="B5" s="33" t="n">
        <v>0.6</v>
      </c>
      <c r="C5" s="33" t="n">
        <v>0.6</v>
      </c>
      <c r="D5" s="3" t="inlineStr">
        <is>
          <t>CFO-disclosed (MSFT rose 50%-&gt;67%)</t>
        </is>
      </c>
    </row>
    <row r="6">
      <c r="A6" t="inlineStr">
        <is>
          <t>Accelerator share within servers</t>
        </is>
      </c>
      <c r="B6" s="33" t="n">
        <v>0.67</v>
      </c>
      <c r="C6" s="33" t="n">
        <v>0.67</v>
      </c>
      <c r="D6" s="3" t="inlineStr">
        <is>
          <t>from BOM teardowns (~67-80%)</t>
        </is>
      </c>
    </row>
    <row r="7">
      <c r="A7" t="inlineStr">
        <is>
          <t>Market cap ($B, approx)</t>
        </is>
      </c>
      <c r="B7" s="38" t="n">
        <v>4250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25</v>
      </c>
      <c r="C32" s="37" t="n">
        <v>40</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$91.4B; CFO 60% servers / 40% DC+net (Q4'25 call)</t>
        </is>
      </c>
      <c r="B41" s="45" t="inlineStr">
        <is>
          <t>https://www.fool.com/earnings/call-transcripts/2026/02/04/alphabet-googl-q4-2025-earnings-call-transcript/</t>
        </is>
      </c>
    </row>
    <row r="42">
      <c r="A42" s="3" t="inlineStr">
        <is>
          <t>FY26 guide $180-190B (Q1'26)</t>
        </is>
      </c>
      <c r="B42" s="45" t="inlineStr">
        <is>
          <t>https://www.cnbc.com/2026/04/29/alphabet-googl-q1-2026-earnings.html</t>
        </is>
      </c>
    </row>
    <row r="43">
      <c r="A43" s="3" t="inlineStr">
        <is>
          <t>Server life 6yr; TPU at-cost TCO 20-50% below NVIDIA (SemiAnalysis)</t>
        </is>
      </c>
      <c r="B43" s="45"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Amazon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128.3</v>
      </c>
      <c r="C3" s="37" t="n">
        <v>220</v>
      </c>
      <c r="D3" s="3" t="inlineStr">
        <is>
          <t>FY25 cash capex $128.3B [DISCLOSED]; FY26 raised to ~$220B (Q2'26, 2026-07-30). AWS ~68-70% -&gt; strips fulfillment. Accel ~67% [BOM]. AI rev &gt;$15B AWS run-rate (Q1 FY26, Jassy).</t>
        </is>
      </c>
    </row>
    <row r="4">
      <c r="A4" t="inlineStr">
        <is>
          <t>Infra / data-center share</t>
        </is>
      </c>
      <c r="B4" s="33" t="n">
        <v>0.68</v>
      </c>
      <c r="C4" s="33" t="n">
        <v>0.7</v>
      </c>
      <c r="D4" s="3" t="inlineStr">
        <is>
          <t>strips non-AI (Amazon = AWS only)</t>
        </is>
      </c>
    </row>
    <row r="5">
      <c r="A5" t="inlineStr">
        <is>
          <t>Server / short-lived share</t>
        </is>
      </c>
      <c r="B5" s="33" t="n">
        <v>0.65</v>
      </c>
      <c r="C5" s="33" t="n">
        <v>0.65</v>
      </c>
      <c r="D5" s="3" t="inlineStr">
        <is>
          <t>CFO-disclosed (MSFT rose 50%-&gt;67%)</t>
        </is>
      </c>
    </row>
    <row r="6">
      <c r="A6" t="inlineStr">
        <is>
          <t>Accelerator share within servers</t>
        </is>
      </c>
      <c r="B6" s="33" t="n">
        <v>0.67</v>
      </c>
      <c r="C6" s="33" t="n">
        <v>0.67</v>
      </c>
      <c r="D6" s="3" t="inlineStr">
        <is>
          <t>from BOM teardowns (~67-80%)</t>
        </is>
      </c>
    </row>
    <row r="7">
      <c r="A7" t="inlineStr">
        <is>
          <t>Market cap ($B, approx)</t>
        </is>
      </c>
      <c r="B7" s="38" t="n">
        <v>2830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12</v>
      </c>
      <c r="C32" s="37" t="n">
        <v>22</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cash capex $128.3B; AWS 67.8% of net P&amp;E adds; server life 6-&gt;5yr (FY25 10-K)</t>
        </is>
      </c>
      <c r="B41" s="45" t="inlineStr">
        <is>
          <t>https://www.sec.gov/Archives/edgar/data/1018724/000101872426000004/amzn-20251231.htm</t>
        </is>
      </c>
    </row>
    <row r="42">
      <c r="A42" s="3" t="inlineStr">
        <is>
          <t>~$200B 2026 capex, 'predominantly AWS' (Q4'25 call)</t>
        </is>
      </c>
      <c r="B42" s="45" t="inlineStr">
        <is>
          <t>https://www.fool.com/earnings/call-transcripts/2026/02/05/amazon-amzn-q4-2025-earnings-call-transcript/</t>
        </is>
      </c>
    </row>
    <row r="43">
      <c r="A43" s="3" t="inlineStr">
        <is>
          <t>AWS AI revenue &gt;$15B annual run-rate (Q1'26, Jassy)</t>
        </is>
      </c>
      <c r="B43" s="45"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Meta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72.2</v>
      </c>
      <c r="C3" s="37" t="n">
        <v>137.5</v>
      </c>
      <c r="D3" s="3" t="inlineStr">
        <is>
          <t>FY25 capex incl leases $72.2B [DISCLOSED]; FY26 $130-145B guide (mid 137.5). Accel ~74% [BOM]. AI rev DIRECT est ~$4B -- Meta's real AI payoff is INDIRECT ad-uplift (~$20B), not counted.</t>
        </is>
      </c>
    </row>
    <row r="4">
      <c r="A4" t="inlineStr">
        <is>
          <t>Infra / data-center share</t>
        </is>
      </c>
      <c r="B4" s="33" t="n">
        <v>1</v>
      </c>
      <c r="C4" s="33" t="n">
        <v>1</v>
      </c>
      <c r="D4" s="3" t="inlineStr">
        <is>
          <t>strips non-AI (Amazon = AWS only)</t>
        </is>
      </c>
    </row>
    <row r="5">
      <c r="A5" t="inlineStr">
        <is>
          <t>Server / short-lived share</t>
        </is>
      </c>
      <c r="B5" s="33" t="n">
        <v>0.65</v>
      </c>
      <c r="C5" s="33" t="n">
        <v>0.65</v>
      </c>
      <c r="D5" s="3" t="inlineStr">
        <is>
          <t>CFO-disclosed (MSFT rose 50%-&gt;67%)</t>
        </is>
      </c>
    </row>
    <row r="6">
      <c r="A6" t="inlineStr">
        <is>
          <t>Accelerator share within servers</t>
        </is>
      </c>
      <c r="B6" s="33" t="n">
        <v>0.74</v>
      </c>
      <c r="C6" s="33" t="n">
        <v>0.74</v>
      </c>
      <c r="D6" s="3" t="inlineStr">
        <is>
          <t>from BOM teardowns (~67-80%)</t>
        </is>
      </c>
    </row>
    <row r="7">
      <c r="A7" t="inlineStr">
        <is>
          <t>Market cap ($B, approx)</t>
        </is>
      </c>
      <c r="B7" s="38" t="n">
        <v>1490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4</v>
      </c>
      <c r="C32" s="37" t="n">
        <v>8</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$72.2B incl finance leases (Q4/FY25 release)</t>
        </is>
      </c>
      <c r="B41" s="45" t="inlineStr">
        <is>
          <t>https://investor.atmeta.com/investor-news/press-release-details/2026/Meta-Reports-Fourth-Quarter-and-Full-Year-2025-Results/default.aspx</t>
        </is>
      </c>
    </row>
    <row r="42">
      <c r="A42" s="3" t="inlineStr">
        <is>
          <t>FY26 $125-145B guide; raise driven by HBM pricing (Q1'26 call)</t>
        </is>
      </c>
      <c r="B42" s="45" t="inlineStr">
        <is>
          <t>https://www.fool.com/earnings/call-transcripts/2026/04/29/meta-meta-q1-2026-earnings-call-transcript/</t>
        </is>
      </c>
    </row>
    <row r="43">
      <c r="A43" s="3" t="inlineStr">
        <is>
          <t>&gt;1.3M GPUs by end-2025 (Zuckerberg) - cross-checks accel capex</t>
        </is>
      </c>
      <c r="B43" s="45" t="inlineStr">
        <is>
          <t>https://techcrunch.com/2025/01/24/mark-zuckerberg-says-meta-will-have-1-3m-gpus-for-ai-by-year-end/</t>
        </is>
      </c>
    </row>
    <row r="44">
      <c r="A44" s="3" t="inlineStr">
        <is>
          <t>Server life 5.5yr (-$2.9B depreciation)</t>
        </is>
      </c>
      <c r="B44" s="45" t="inlineStr">
        <is>
          <t>https://www.thestack.technology/meta-extends-server-life-again-saving-it-2-9-billion/</t>
        </is>
      </c>
    </row>
    <row r="45">
      <c r="A45" s="3" t="inlineStr">
        <is>
          <t>~25% of capex to NVIDIA (Bloomberg) - accel-share basis</t>
        </is>
      </c>
      <c r="B45" s="45"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Oracle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21.2</v>
      </c>
      <c r="C3" s="37"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33" t="n">
        <v>0.85</v>
      </c>
      <c r="C4" s="33" t="n">
        <v>0.9</v>
      </c>
      <c r="D4" s="3" t="inlineStr">
        <is>
          <t>strips non-AI (Amazon = AWS only)</t>
        </is>
      </c>
    </row>
    <row r="5">
      <c r="A5" t="inlineStr">
        <is>
          <t>Server / short-lived share</t>
        </is>
      </c>
      <c r="B5" s="33" t="n">
        <v>0.75</v>
      </c>
      <c r="C5" s="33" t="n">
        <v>0.75</v>
      </c>
      <c r="D5" s="3" t="inlineStr">
        <is>
          <t>CFO-disclosed (MSFT rose 50%-&gt;67%)</t>
        </is>
      </c>
    </row>
    <row r="6">
      <c r="A6" t="inlineStr">
        <is>
          <t>Accelerator share within servers</t>
        </is>
      </c>
      <c r="B6" s="33" t="n">
        <v>0.7</v>
      </c>
      <c r="C6" s="33" t="n">
        <v>0.7</v>
      </c>
      <c r="D6" s="3" t="inlineStr">
        <is>
          <t>from BOM teardowns (~67-80%)</t>
        </is>
      </c>
    </row>
    <row r="7">
      <c r="A7" t="inlineStr">
        <is>
          <t>Market cap ($B, approx)</t>
        </is>
      </c>
      <c r="B7" s="38" t="n">
        <v>433</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8</v>
      </c>
      <c r="C32" s="37" t="n">
        <v>15</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FY25 capex $21.2B; FY26 ~$50B guide on $67B rev (CIO Dive)</t>
        </is>
      </c>
      <c r="B41" s="45" t="inlineStr">
        <is>
          <t>https://www.ciodive.com/news/oracle-capex-spike-cloud-ai-data-center/807721/</t>
        </is>
      </c>
    </row>
    <row r="42">
      <c r="A42" s="3" t="inlineStr">
        <is>
          <t>OCI run-rate ~$27B exiting FY25; IaaS $3.0B Q4 +52%; RPO $138B (Q4 FY25)</t>
        </is>
      </c>
      <c r="B42" s="45" t="inlineStr">
        <is>
          <t>https://futurumgroup.com/insights/oracle-delivers-q4-fy-2025-results-with-27-cloud-growth-rpo-hits-138-billion/</t>
        </is>
      </c>
    </row>
    <row r="43">
      <c r="A43" s="3" t="inlineStr">
        <is>
          <t>FY26 OCI +77% to ~$18B; RPO $523B +433% on AI deals (Q2 FY26)</t>
        </is>
      </c>
      <c r="B43" s="45"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34" t="inlineStr">
        <is>
          <t>SpaceX — accelerator capex &amp; value (FY2025 actual + FY2026 estimate)</t>
        </is>
      </c>
      <c r="B1" s="35" t="n"/>
      <c r="C1" s="35" t="n"/>
      <c r="D1" s="35" t="n"/>
    </row>
    <row r="2">
      <c r="A2" s="7" t="inlineStr">
        <is>
          <t>Metric</t>
        </is>
      </c>
      <c r="B2" s="7" t="inlineStr">
        <is>
          <t>FY2025</t>
        </is>
      </c>
      <c r="C2" s="7" t="inlineStr">
        <is>
          <t>FY2026</t>
        </is>
      </c>
      <c r="D2" s="7" t="inlineStr">
        <is>
          <t>basis / source</t>
        </is>
      </c>
    </row>
    <row r="3">
      <c r="A3" t="inlineStr">
        <is>
          <t>Total capex ($B)</t>
        </is>
      </c>
      <c r="B3" s="36" t="n">
        <v>12.7</v>
      </c>
      <c r="C3" s="37"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33" t="n">
        <v>1</v>
      </c>
      <c r="C4" s="33" t="n">
        <v>1</v>
      </c>
      <c r="D4" s="3" t="inlineStr">
        <is>
          <t>strips non-AI (Amazon = AWS only)</t>
        </is>
      </c>
    </row>
    <row r="5">
      <c r="A5" t="inlineStr">
        <is>
          <t>Server / short-lived share</t>
        </is>
      </c>
      <c r="B5" s="33" t="n">
        <v>0.79</v>
      </c>
      <c r="C5" s="33" t="n">
        <v>0.79</v>
      </c>
      <c r="D5" s="3" t="inlineStr">
        <is>
          <t>CFO-disclosed (MSFT rose 50%-&gt;67%)</t>
        </is>
      </c>
    </row>
    <row r="6">
      <c r="A6" t="inlineStr">
        <is>
          <t>Accelerator share within servers</t>
        </is>
      </c>
      <c r="B6" s="33" t="n">
        <v>1</v>
      </c>
      <c r="C6" s="33" t="n">
        <v>1</v>
      </c>
      <c r="D6" s="3" t="inlineStr">
        <is>
          <t>from BOM teardowns (~67-80%)</t>
        </is>
      </c>
    </row>
    <row r="7">
      <c r="A7" t="inlineStr">
        <is>
          <t>Market cap ($B, approx)</t>
        </is>
      </c>
      <c r="B7" s="38" t="n">
        <v>1950</v>
      </c>
      <c r="D7" s="3" t="inlineStr">
        <is>
          <t>approximate June 2026 market data -- edit</t>
        </is>
      </c>
    </row>
    <row r="9">
      <c r="A9" s="34" t="inlineStr">
        <is>
          <t>DERIVATION</t>
        </is>
      </c>
      <c r="B9" s="35" t="n"/>
      <c r="C9" s="35" t="n"/>
      <c r="D9" s="35" t="n"/>
    </row>
    <row r="10">
      <c r="A10" t="inlineStr">
        <is>
          <t>AI-infra capex ($B)</t>
        </is>
      </c>
      <c r="B10" s="39">
        <f>B3*B4</f>
        <v/>
      </c>
      <c r="C10" s="39">
        <f>C3*C4</f>
        <v/>
      </c>
      <c r="D10" s="3" t="inlineStr">
        <is>
          <t>total x infra share</t>
        </is>
      </c>
    </row>
    <row r="11">
      <c r="A11" t="inlineStr">
        <is>
          <t>Server bucket ($B)</t>
        </is>
      </c>
      <c r="B11" s="39">
        <f>B10*B5</f>
        <v/>
      </c>
      <c r="C11" s="39">
        <f>C10*C5</f>
        <v/>
      </c>
      <c r="D11" s="3" t="inlineStr">
        <is>
          <t>infra x server share</t>
        </is>
      </c>
    </row>
    <row r="12">
      <c r="A12" s="7" t="inlineStr">
        <is>
          <t>ACCELERATOR capex ($B)</t>
        </is>
      </c>
      <c r="B12" s="40">
        <f>B11*B6</f>
        <v/>
      </c>
      <c r="C12" s="40">
        <f>C11*C6</f>
        <v/>
      </c>
      <c r="D12" s="3" t="inlineStr">
        <is>
          <t>server x accel share</t>
        </is>
      </c>
    </row>
    <row r="13">
      <c r="A13" t="inlineStr">
        <is>
          <t>Accel % of total capex</t>
        </is>
      </c>
      <c r="B13" s="14">
        <f>B12/B3</f>
        <v/>
      </c>
      <c r="C13" s="14">
        <f>C12/C3</f>
        <v/>
      </c>
      <c r="D13" s="3" t="inlineStr">
        <is>
          <t>varies across companies</t>
        </is>
      </c>
    </row>
    <row r="15">
      <c r="A15" s="34" t="inlineStr">
        <is>
          <t>FLEET &amp; OPERATING COST (from accelerator capex)</t>
        </is>
      </c>
      <c r="B15" s="35" t="n"/>
      <c r="C15" s="35" t="n"/>
      <c r="D15" s="35" t="n"/>
    </row>
    <row r="16">
      <c r="A16" t="inlineStr">
        <is>
          <t>Fleet size (GPU-equiv)</t>
        </is>
      </c>
      <c r="B16" s="41">
        <f>B12*1000000000/Inputs!$B$7</f>
        <v/>
      </c>
      <c r="C16" s="41">
        <f>C12*1000000000/Inputs!$B$7</f>
        <v/>
      </c>
      <c r="D16" s="3" t="inlineStr">
        <is>
          <t>accel capex / $ per GPU</t>
        </is>
      </c>
    </row>
    <row r="17">
      <c r="A17" t="inlineStr">
        <is>
          <t>Total wall power (MW)</t>
        </is>
      </c>
      <c r="B17" s="41">
        <f>B16*Inputs!$B$8/1000</f>
        <v/>
      </c>
      <c r="C17" s="41">
        <f>C16*Inputs!$B$8/1000</f>
        <v/>
      </c>
      <c r="D17" s="3" t="inlineStr">
        <is>
          <t>GPUs x kW</t>
        </is>
      </c>
    </row>
    <row r="18">
      <c r="A18" t="inlineStr">
        <is>
          <t>Daily energy (MWh)</t>
        </is>
      </c>
      <c r="B18" s="41">
        <f>B17*24</f>
        <v/>
      </c>
      <c r="C18" s="41">
        <f>C17*24</f>
        <v/>
      </c>
      <c r="D18" s="3" t="inlineStr"/>
    </row>
    <row r="19">
      <c r="A19" t="inlineStr">
        <is>
          <t>Daily all-in opex ($/day)</t>
        </is>
      </c>
      <c r="B19" s="41">
        <f>B18*1000*Inputs!$B$9*(1+Inputs!$B$10)</f>
        <v/>
      </c>
      <c r="C19" s="41">
        <f>C18*1000*Inputs!$B$9*(1+Inputs!$B$10)</f>
        <v/>
      </c>
      <c r="D19" s="3" t="inlineStr">
        <is>
          <t>MWh x rate x (1+overhead)</t>
        </is>
      </c>
    </row>
    <row r="20">
      <c r="A20" t="inlineStr">
        <is>
          <t>Annual opex ($M)</t>
        </is>
      </c>
      <c r="B20" s="39">
        <f>B19*365/1000000</f>
        <v/>
      </c>
      <c r="C20" s="39">
        <f>C19*365/1000000</f>
        <v/>
      </c>
      <c r="D20" s="3" t="inlineStr"/>
    </row>
    <row r="21">
      <c r="A21" t="inlineStr">
        <is>
          <t>Lifetime opex ($B)</t>
        </is>
      </c>
      <c r="B21" s="42">
        <f>B20*Inputs!$B$11/1000</f>
        <v/>
      </c>
      <c r="C21" s="42">
        <f>C20*Inputs!$B$11/1000</f>
        <v/>
      </c>
      <c r="D21" s="3" t="inlineStr"/>
    </row>
    <row r="23">
      <c r="A23" s="34" t="inlineStr">
        <is>
          <t>EFFICIENT VERSION &amp; VALUE</t>
        </is>
      </c>
      <c r="B23" s="35" t="n"/>
      <c r="C23" s="35" t="n"/>
      <c r="D23" s="35" t="n"/>
    </row>
    <row r="24">
      <c r="A24" t="inlineStr">
        <is>
          <t>Efficient AI capex ($B)</t>
        </is>
      </c>
      <c r="B24" s="39">
        <f>B10-B25</f>
        <v/>
      </c>
      <c r="C24" s="39">
        <f>C10-C25</f>
        <v/>
      </c>
      <c r="D24" s="3" t="inlineStr">
        <is>
          <t>AI capex - avoided</t>
        </is>
      </c>
    </row>
    <row r="25">
      <c r="A25" t="inlineStr">
        <is>
          <t>Capex avoided/yr ($B)</t>
        </is>
      </c>
      <c r="B25" s="39">
        <f>(B12+(B10-B12)*Inputs!$B$13)*(1-1/Inputs!$B$20)</f>
        <v/>
      </c>
      <c r="C25" s="39">
        <f>(C12+(C10-C12)*Inputs!$B$13)*(1-1/Inputs!$B$20)</f>
        <v/>
      </c>
      <c r="D25" s="3" t="inlineStr">
        <is>
          <t>accel + (datacenter x dc-scale), all x (1-1/reduction)</t>
        </is>
      </c>
    </row>
    <row r="26">
      <c r="A26" t="inlineStr">
        <is>
          <t>Annual opex savings ($M)</t>
        </is>
      </c>
      <c r="B26" s="39">
        <f>B20*(1-1/Inputs!$B$5)</f>
        <v/>
      </c>
      <c r="C26" s="39">
        <f>C20*(1-1/Inputs!$B$5)</f>
        <v/>
      </c>
      <c r="D26" s="3" t="inlineStr"/>
    </row>
    <row r="27">
      <c r="A27" t="inlineStr">
        <is>
          <t>Sustained annual benefit ($B/yr)</t>
        </is>
      </c>
      <c r="B27" s="43">
        <f>B25+B26/1000</f>
        <v/>
      </c>
      <c r="C27" s="43">
        <f>C25+C26/1000</f>
        <v/>
      </c>
      <c r="D27" s="3" t="inlineStr">
        <is>
          <t>avoided + opex savings</t>
        </is>
      </c>
    </row>
    <row r="28">
      <c r="A28" s="7" t="inlineStr">
        <is>
          <t>Capitalized value ($B)</t>
        </is>
      </c>
      <c r="B28" s="44">
        <f>B27/Inputs!$B$6</f>
        <v/>
      </c>
      <c r="C28" s="44">
        <f>C27/Inputs!$B$6</f>
        <v/>
      </c>
      <c r="D28" s="3" t="inlineStr">
        <is>
          <t>benefit / discount rate</t>
        </is>
      </c>
    </row>
    <row r="29">
      <c r="A29" t="inlineStr">
        <is>
          <t>% of market cap</t>
        </is>
      </c>
      <c r="B29" s="25">
        <f>B28/$B$7</f>
        <v/>
      </c>
      <c r="C29" s="25">
        <f>C28/$B$7</f>
        <v/>
      </c>
      <c r="D29" s="3" t="inlineStr"/>
    </row>
    <row r="31">
      <c r="A31" s="34" t="inlineStr">
        <is>
          <t>AI ECONOMICS (cash basis: AI revenue - AI capex - AI opex)</t>
        </is>
      </c>
      <c r="B31" s="35" t="n"/>
      <c r="C31" s="35" t="n"/>
      <c r="D31" s="35" t="n"/>
    </row>
    <row r="32">
      <c r="A32" t="inlineStr">
        <is>
          <t>AI revenue ($B)</t>
        </is>
      </c>
      <c r="B32" s="37" t="n">
        <v>0.3</v>
      </c>
      <c r="C32" s="37" t="n">
        <v>1</v>
      </c>
      <c r="D32" s="3" t="inlineStr">
        <is>
          <t>ESTIMATE (see Methodology). MSFT $37B &amp; Amazon $15B run-rates disclosed; Google/Meta/SpaceX estimated.</t>
        </is>
      </c>
    </row>
    <row r="33">
      <c r="A33" t="inlineStr">
        <is>
          <t>AI capex ($B)</t>
        </is>
      </c>
      <c r="B33" s="39">
        <f>B10</f>
        <v/>
      </c>
      <c r="C33" s="39">
        <f>C10</f>
        <v/>
      </c>
      <c r="D33" s="3" t="inlineStr">
        <is>
          <t>AI-infra capex (full: accel + buildings + power + net)</t>
        </is>
      </c>
    </row>
    <row r="34">
      <c r="A34" t="inlineStr">
        <is>
          <t>AI opex ($B)</t>
        </is>
      </c>
      <c r="B34" s="39">
        <f>B20/1000</f>
        <v/>
      </c>
      <c r="C34" s="39">
        <f>C20/1000</f>
        <v/>
      </c>
      <c r="D34" s="3" t="inlineStr">
        <is>
          <t>annual power/operating</t>
        </is>
      </c>
    </row>
    <row r="35">
      <c r="A35" s="7" t="inlineStr">
        <is>
          <t>Net AI NOW ($B)</t>
        </is>
      </c>
      <c r="B35" s="40">
        <f>B32-B33-B34</f>
        <v/>
      </c>
      <c r="C35" s="40">
        <f>C32-C33-C34</f>
        <v/>
      </c>
      <c r="D35" s="3" t="inlineStr">
        <is>
          <t>revenue - capex - opex (cash burn)</t>
        </is>
      </c>
    </row>
    <row r="36">
      <c r="A36" t="inlineStr">
        <is>
          <t>Spend cut, our arch ($B)</t>
        </is>
      </c>
      <c r="B36" s="39">
        <f>B27</f>
        <v/>
      </c>
      <c r="C36" s="39">
        <f>C27</f>
        <v/>
      </c>
      <c r="D36" s="3" t="inlineStr">
        <is>
          <t>accel capex avoided + opex saved</t>
        </is>
      </c>
    </row>
    <row r="37">
      <c r="A37" s="7" t="inlineStr">
        <is>
          <t>Net AI WITH our arch ($B)</t>
        </is>
      </c>
      <c r="B37" s="40">
        <f>B35+B36</f>
        <v/>
      </c>
      <c r="C37" s="40">
        <f>C35+C36</f>
        <v/>
      </c>
      <c r="D37" s="3" t="inlineStr">
        <is>
          <t>Net AI now + spend cut</t>
        </is>
      </c>
    </row>
    <row r="38">
      <c r="A38" t="inlineStr">
        <is>
          <t>% AI spend reduction</t>
        </is>
      </c>
      <c r="B38" s="14">
        <f>B36/(B33+B34)</f>
        <v/>
      </c>
      <c r="C38" s="14">
        <f>C36/(C33+C34)</f>
        <v/>
      </c>
      <c r="D38" s="3" t="inlineStr">
        <is>
          <t>spend cut / total AI spend (accel-only; upside if DC scales)</t>
        </is>
      </c>
    </row>
    <row r="40">
      <c r="A40" s="34" t="inlineStr">
        <is>
          <t>SOURCES &amp; REFERENCES</t>
        </is>
      </c>
      <c r="B40" s="35" t="n"/>
      <c r="C40" s="35" t="n"/>
      <c r="D40" s="35" t="n"/>
    </row>
    <row r="41">
      <c r="A41" s="3" t="inlineStr">
        <is>
          <t>S-1 registration statement (SEC EDGAR)</t>
        </is>
      </c>
      <c r="B41" s="45" t="inlineStr">
        <is>
          <t>https://www.sec.gov/Archives/edgar/data/1181412/000162828026036936/spaceexplorationtechnologi.htm</t>
        </is>
      </c>
    </row>
    <row r="42">
      <c r="A42" s="3" t="inlineStr">
        <is>
          <t>S-1 financials &amp; AI breakdown (Hargreaves Lansdown)</t>
        </is>
      </c>
      <c r="B42" s="45" t="inlineStr">
        <is>
          <t>https://www.hl.co.uk/news/inside-spacexs-ipo-filing-revenue-starlink-ai-and-key-financials</t>
        </is>
      </c>
    </row>
    <row r="43">
      <c r="A43" s="3" t="inlineStr">
        <is>
          <t>$12.7B AI capex = ~60% of capex; COLOSSUS buildout (Investing.com)</t>
        </is>
      </c>
      <c r="B43" s="45" t="inlineStr">
        <is>
          <t>https://www.investing.com/analysis/spacex-is-quietly-becoming-an-ai-compute-and-orbital-infrastructure-company-200681776</t>
        </is>
      </c>
    </row>
    <row r="44">
      <c r="A44" s="3" t="inlineStr">
        <is>
          <t>AI1 orbital data centers; Anthropic as compute customer (DCD)</t>
        </is>
      </c>
      <c r="B44" s="45"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34" t="inlineStr">
        <is>
          <t>6-COMPANY AI ECONOMICS — current AI cash burn &amp; the effect of our architecture</t>
        </is>
      </c>
      <c r="B1" s="35" t="n"/>
      <c r="C1" s="35" t="n"/>
      <c r="D1" s="35" t="n"/>
      <c r="E1" s="35" t="n"/>
      <c r="F1" s="35" t="n"/>
      <c r="G1" s="35" t="n"/>
      <c r="H1" s="35"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34" t="inlineStr">
        <is>
          <t>NET AI ECONOMICS — FY2025 (cash basis: AI revenue - AI capex - AI opex)</t>
        </is>
      </c>
      <c r="B4" s="35" t="n"/>
      <c r="C4" s="35" t="n"/>
      <c r="D4" s="35" t="n"/>
      <c r="E4" s="35" t="n"/>
      <c r="F4" s="35" t="n"/>
      <c r="G4" s="35" t="n"/>
      <c r="H4" s="35" t="n"/>
    </row>
    <row r="5">
      <c r="A5" s="20" t="inlineStr">
        <is>
          <t>Company</t>
        </is>
      </c>
      <c r="B5" s="20" t="inlineStr">
        <is>
          <t>AI revenue ($B)</t>
        </is>
      </c>
      <c r="C5" s="20" t="inlineStr">
        <is>
          <t>AI capex ($B)</t>
        </is>
      </c>
      <c r="D5" s="20" t="inlineStr">
        <is>
          <t>AI opex ($B)</t>
        </is>
      </c>
      <c r="E5" s="20" t="inlineStr">
        <is>
          <t>Net AI NOW ($B)</t>
        </is>
      </c>
      <c r="F5" s="20" t="inlineStr">
        <is>
          <t>Spend cut, our arch ($B)</t>
        </is>
      </c>
      <c r="G5" s="20" t="inlineStr">
        <is>
          <t>Net AI W/ ARCH ($B)</t>
        </is>
      </c>
      <c r="H5" s="20" t="inlineStr">
        <is>
          <t>% spend cut</t>
        </is>
      </c>
    </row>
    <row r="6">
      <c r="A6" t="inlineStr">
        <is>
          <t>Microsoft</t>
        </is>
      </c>
      <c r="B6" s="39">
        <f>Microsoft!$B$32</f>
        <v/>
      </c>
      <c r="C6" s="39">
        <f>Microsoft!$B$33</f>
        <v/>
      </c>
      <c r="D6" s="39">
        <f>Microsoft!$B$34</f>
        <v/>
      </c>
      <c r="E6" s="40">
        <f>Microsoft!$B$35</f>
        <v/>
      </c>
      <c r="F6" s="39">
        <f>Microsoft!$B$36</f>
        <v/>
      </c>
      <c r="G6" s="40">
        <f>Microsoft!$B$37</f>
        <v/>
      </c>
      <c r="H6" s="14">
        <f>Microsoft!$B$38</f>
        <v/>
      </c>
    </row>
    <row r="7">
      <c r="A7" t="inlineStr">
        <is>
          <t>Alphabet</t>
        </is>
      </c>
      <c r="B7" s="39">
        <f>Alphabet!$B$32</f>
        <v/>
      </c>
      <c r="C7" s="39">
        <f>Alphabet!$B$33</f>
        <v/>
      </c>
      <c r="D7" s="39">
        <f>Alphabet!$B$34</f>
        <v/>
      </c>
      <c r="E7" s="40">
        <f>Alphabet!$B$35</f>
        <v/>
      </c>
      <c r="F7" s="39">
        <f>Alphabet!$B$36</f>
        <v/>
      </c>
      <c r="G7" s="40">
        <f>Alphabet!$B$37</f>
        <v/>
      </c>
      <c r="H7" s="14">
        <f>Alphabet!$B$38</f>
        <v/>
      </c>
    </row>
    <row r="8">
      <c r="A8" t="inlineStr">
        <is>
          <t>Amazon</t>
        </is>
      </c>
      <c r="B8" s="39">
        <f>Amazon!$B$32</f>
        <v/>
      </c>
      <c r="C8" s="39">
        <f>Amazon!$B$33</f>
        <v/>
      </c>
      <c r="D8" s="39">
        <f>Amazon!$B$34</f>
        <v/>
      </c>
      <c r="E8" s="40">
        <f>Amazon!$B$35</f>
        <v/>
      </c>
      <c r="F8" s="39">
        <f>Amazon!$B$36</f>
        <v/>
      </c>
      <c r="G8" s="40">
        <f>Amazon!$B$37</f>
        <v/>
      </c>
      <c r="H8" s="14">
        <f>Amazon!$B$38</f>
        <v/>
      </c>
    </row>
    <row r="9">
      <c r="A9" t="inlineStr">
        <is>
          <t>Meta</t>
        </is>
      </c>
      <c r="B9" s="39">
        <f>Meta!$B$32</f>
        <v/>
      </c>
      <c r="C9" s="39">
        <f>Meta!$B$33</f>
        <v/>
      </c>
      <c r="D9" s="39">
        <f>Meta!$B$34</f>
        <v/>
      </c>
      <c r="E9" s="40">
        <f>Meta!$B$35</f>
        <v/>
      </c>
      <c r="F9" s="39">
        <f>Meta!$B$36</f>
        <v/>
      </c>
      <c r="G9" s="40">
        <f>Meta!$B$37</f>
        <v/>
      </c>
      <c r="H9" s="14">
        <f>Meta!$B$38</f>
        <v/>
      </c>
    </row>
    <row r="10">
      <c r="A10" t="inlineStr">
        <is>
          <t>Oracle</t>
        </is>
      </c>
      <c r="B10" s="39">
        <f>Oracle!$B$32</f>
        <v/>
      </c>
      <c r="C10" s="39">
        <f>Oracle!$B$33</f>
        <v/>
      </c>
      <c r="D10" s="39">
        <f>Oracle!$B$34</f>
        <v/>
      </c>
      <c r="E10" s="40">
        <f>Oracle!$B$35</f>
        <v/>
      </c>
      <c r="F10" s="39">
        <f>Oracle!$B$36</f>
        <v/>
      </c>
      <c r="G10" s="40">
        <f>Oracle!$B$37</f>
        <v/>
      </c>
      <c r="H10" s="14">
        <f>Oracle!$B$38</f>
        <v/>
      </c>
    </row>
    <row r="11">
      <c r="A11" t="inlineStr">
        <is>
          <t>SpaceX</t>
        </is>
      </c>
      <c r="B11" s="39">
        <f>SpaceX!$B$32</f>
        <v/>
      </c>
      <c r="C11" s="39">
        <f>SpaceX!$B$33</f>
        <v/>
      </c>
      <c r="D11" s="39">
        <f>SpaceX!$B$34</f>
        <v/>
      </c>
      <c r="E11" s="40">
        <f>SpaceX!$B$35</f>
        <v/>
      </c>
      <c r="F11" s="39">
        <f>SpaceX!$B$36</f>
        <v/>
      </c>
      <c r="G11" s="40">
        <f>SpaceX!$B$37</f>
        <v/>
      </c>
      <c r="H11" s="14">
        <f>SpaceX!$B$38</f>
        <v/>
      </c>
    </row>
    <row r="12">
      <c r="A12" s="7" t="inlineStr">
        <is>
          <t>TOTAL (6)</t>
        </is>
      </c>
      <c r="B12" s="46">
        <f>SUM(B6:B11)</f>
        <v/>
      </c>
      <c r="C12" s="46">
        <f>SUM(C6:C11)</f>
        <v/>
      </c>
      <c r="D12" s="46">
        <f>SUM(D6:D11)</f>
        <v/>
      </c>
      <c r="E12" s="46">
        <f>SUM(E6:E11)</f>
        <v/>
      </c>
      <c r="F12" s="46">
        <f>SUM(F6:F11)</f>
        <v/>
      </c>
      <c r="G12" s="46">
        <f>SUM(G6:G11)</f>
        <v/>
      </c>
      <c r="H12" s="47">
        <f>F12/(C12+D12)</f>
        <v/>
      </c>
    </row>
    <row r="13">
      <c r="A13" s="7" t="inlineStr">
        <is>
          <t>FY2026 (estimate)</t>
        </is>
      </c>
      <c r="E13" s="48">
        <f>SUM(Microsoft!$C$35,Alphabet!$C$35,Amazon!$C$35,Meta!$C$35,Oracle!$C$35,SpaceX!$C$35)</f>
        <v/>
      </c>
      <c r="F13" s="48">
        <f>SUM(Microsoft!$C$36,Alphabet!$C$36,Amazon!$C$36,Meta!$C$36,Oracle!$C$36,SpaceX!$C$36)</f>
        <v/>
      </c>
      <c r="G13" s="48">
        <f>SUM(Microsoft!$C$37,Alphabet!$C$37,Amazon!$C$37,Meta!$C$37,Oracle!$C$37,SpaceX!$C$37)</f>
        <v/>
      </c>
      <c r="H13" s="49">
        <f>SUM(Microsoft!$C$36,Alphabet!$C$36,Amazon!$C$36,Meta!$C$36,Oracle!$C$36,SpaceX!$C$36)/(SUM(Microsoft!$C$33,Alphabet!$C$33,Amazon!$C$33,Meta!$C$33,Oracle!$C$33,SpaceX!$C$33)+SUM(Microsoft!$C$34,Alphabet!$C$34,Amazon!$C$34,Meta!$C$34,Oracle!$C$34,SpaceX!$C$34))</f>
        <v/>
      </c>
    </row>
    <row r="14">
      <c r="A14" s="7" t="inlineStr">
        <is>
          <t>FY2027 (STREET-EST prediction, static)</t>
        </is>
      </c>
      <c r="E14" s="48" t="n">
        <v>-965.5958029079999</v>
      </c>
      <c r="F14" s="48" t="n">
        <v>571.8114816440648</v>
      </c>
      <c r="G14" s="48" t="n">
        <v>-393.7843212639353</v>
      </c>
      <c r="H14" s="49" t="n">
        <v>0.4891057518312402</v>
      </c>
    </row>
    <row r="16">
      <c r="A16" s="34" t="inlineStr">
        <is>
          <t>SAVINGS BREAKDOWN — the spend cut, split</t>
        </is>
      </c>
      <c r="B16" s="35" t="n"/>
      <c r="C16" s="35" t="n"/>
      <c r="D16" s="35" t="n"/>
      <c r="E16" s="35" t="n"/>
      <c r="F16" s="35" t="n"/>
      <c r="G16" s="35" t="n"/>
      <c r="H16" s="35" t="n"/>
    </row>
    <row r="17">
      <c r="A17" t="inlineStr">
        <is>
          <t>Cost-weighted reduction (Amdahl)</t>
        </is>
      </c>
      <c r="B17" s="50">
        <f>Inputs!$B$20</f>
        <v/>
      </c>
      <c r="C17" t="inlineStr">
        <is>
          <t>x</t>
        </is>
      </c>
    </row>
    <row r="19">
      <c r="B19" s="7" t="inlineStr">
        <is>
          <t>Saved OPEX</t>
        </is>
      </c>
      <c r="C19" s="20" t="inlineStr">
        <is>
          <t>Avoided CAPEX (Overspend)</t>
        </is>
      </c>
      <c r="D19" s="7" t="inlineStr">
        <is>
          <t>Total</t>
        </is>
      </c>
    </row>
    <row r="20">
      <c r="A20" t="inlineStr">
        <is>
          <t>FY2025 annual ($B/yr)</t>
        </is>
      </c>
      <c r="B20" s="39">
        <f>SUM(Microsoft!B26,Alphabet!B26,Amazon!B26,Meta!B26,Oracle!B26,SpaceX!B26)/1000</f>
        <v/>
      </c>
      <c r="C20" s="39">
        <f>SUM(Microsoft!B25,Alphabet!B25,Amazon!B25,Meta!B25,Oracle!B25,SpaceX!B25)</f>
        <v/>
      </c>
      <c r="D20" s="39">
        <f>B20+C20</f>
        <v/>
      </c>
    </row>
    <row r="21">
      <c r="A21" s="7" t="inlineStr">
        <is>
          <t>FY2025 capitalized ($B)</t>
        </is>
      </c>
      <c r="B21" s="44">
        <f>B20/Inputs!$B$6</f>
        <v/>
      </c>
      <c r="C21" s="44">
        <f>C20/Inputs!$B$6</f>
        <v/>
      </c>
      <c r="D21" s="44">
        <f>B21+C21</f>
        <v/>
      </c>
    </row>
    <row r="22">
      <c r="A22" t="inlineStr">
        <is>
          <t>FY2026 annual ($B/yr)</t>
        </is>
      </c>
      <c r="B22" s="39">
        <f>SUM(Microsoft!C26,Alphabet!C26,Amazon!C26,Meta!C26,Oracle!C26,SpaceX!C26)/1000</f>
        <v/>
      </c>
      <c r="C22" s="39">
        <f>SUM(Microsoft!C25,Alphabet!C25,Amazon!C25,Meta!C25,Oracle!C25,SpaceX!C25)</f>
        <v/>
      </c>
      <c r="D22" s="39">
        <f>B22+C22</f>
        <v/>
      </c>
    </row>
    <row r="23">
      <c r="A23" s="7" t="inlineStr">
        <is>
          <t>FY2026 capitalized ($B)</t>
        </is>
      </c>
      <c r="B23" s="44">
        <f>B22/Inputs!$B$6</f>
        <v/>
      </c>
      <c r="C23" s="44">
        <f>C22/Inputs!$B$6</f>
        <v/>
      </c>
      <c r="D23" s="44">
        <f>B23+C23</f>
        <v/>
      </c>
    </row>
    <row r="24">
      <c r="A24" s="7" t="inlineStr">
        <is>
          <t>GLOBAL capitalized -- est. ($B)</t>
        </is>
      </c>
      <c r="B24" s="44">
        <f>D21/Inputs!$B$14</f>
        <v/>
      </c>
      <c r="C24" s="44">
        <f>D23/Inputs!$B$14</f>
        <v/>
      </c>
      <c r="D24" s="3" t="inlineStr">
        <is>
          <t>named-floor capitalized / named-share-of-global (Inputs B14). ESTIMATE: grosses up for other clouds, China, neoclouds, xAI, sovereign.</t>
        </is>
      </c>
    </row>
    <row r="25">
      <c r="A25" t="inlineStr">
        <is>
          <t>% reduction</t>
        </is>
      </c>
      <c r="B25" s="14">
        <f>1-1/Inputs!$B$5</f>
        <v/>
      </c>
      <c r="C25" s="14">
        <f>1-1/Inputs!$B$20</f>
        <v/>
      </c>
    </row>
    <row r="26">
      <c r="A26"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8">
      <c r="A28" s="34" t="inlineStr">
        <is>
          <t>TABS</t>
        </is>
      </c>
      <c r="B28" s="35" t="n"/>
      <c r="C28" s="35" t="n"/>
      <c r="D28" s="35" t="n"/>
      <c r="E28" s="35" t="n"/>
      <c r="F28" s="35" t="n"/>
      <c r="G28" s="35" t="n"/>
      <c r="H28" s="35" t="n"/>
    </row>
    <row r="29">
      <c r="A29" s="7" t="inlineStr">
        <is>
          <t>Summary / Value Bridge / Levers</t>
        </is>
      </c>
      <c r="B29" s="3" t="inlineStr">
        <is>
          <t>the plain-language front tabs: headline, training vs serving split, where each Helarctos lever moves the needle</t>
        </is>
      </c>
    </row>
    <row r="30">
      <c r="A30" s="7" t="inlineStr">
        <is>
          <t>Microsoft / Alphabet / Amazon / Meta / Oracle / SpaceX</t>
        </is>
      </c>
      <c r="B30" s="3" t="inlineStr">
        <is>
          <t>one tab each: full build capex -&gt; infra -&gt; servers -&gt; accelerator -&gt; fleet/opex -&gt; value</t>
        </is>
      </c>
    </row>
    <row r="31">
      <c r="A31" s="7" t="inlineStr">
        <is>
          <t>Inputs</t>
        </is>
      </c>
      <c r="B31" s="3" t="inlineStr">
        <is>
          <t>global assumptions + the reduction engine (cost-weighted factor)</t>
        </is>
      </c>
    </row>
    <row r="32">
      <c r="A32" s="7" t="inlineStr">
        <is>
          <t>Sensitivity</t>
        </is>
      </c>
      <c r="B32" s="3" t="inlineStr">
        <is>
          <t>SpaceX value across the Today / Ceiling / live cost-weighted tiers + context sensitivity</t>
        </is>
      </c>
    </row>
    <row r="33">
      <c r="A33" s="7" t="inlineStr">
        <is>
          <t>CostLadder</t>
        </is>
      </c>
      <c r="B33" s="3" t="inlineStr">
        <is>
          <t>own-silicon vs buy-NVIDIA vs rent $/GPU-hr</t>
        </is>
      </c>
    </row>
    <row r="34">
      <c r="A34" s="7" t="inlineStr">
        <is>
          <t>ServingTraining</t>
        </is>
      </c>
      <c r="B34" s="3" t="inlineStr">
        <is>
          <t>the serving/training measurement ledger behind the levers — status-tagged (MEASURED / ESTIMATE / TARGET)</t>
        </is>
      </c>
    </row>
    <row r="35">
      <c r="A35" s="7" t="inlineStr">
        <is>
          <t>Evidence</t>
        </is>
      </c>
      <c r="B35" s="3" t="inlineStr">
        <is>
          <t>BOM cost split, accelerator-share data, own-silicon TCO, filing top-lines</t>
        </is>
      </c>
    </row>
    <row r="36">
      <c r="A36" s="7" t="inlineStr">
        <is>
          <t>Methodology</t>
        </is>
      </c>
      <c r="B36" s="3" t="inlineStr">
        <is>
          <t>step-by-step logic, caveats, sources</t>
        </is>
      </c>
    </row>
    <row r="38">
      <c r="A38" s="7" t="inlineStr">
        <is>
          <t>Legend: yellow = assumption / lever (each maps to a slider in the Streamlit app)  ·  green = disclosed filing or market data  ·  blue = derived formula.</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34" t="inlineStr">
        <is>
          <t>GLOBAL INPUTS  —  edit yellow (assumption) cells; green = disclosed/market data</t>
        </is>
      </c>
      <c r="B1" s="35" t="n"/>
      <c r="C1" s="35" t="n"/>
      <c r="D1" s="35" t="n"/>
    </row>
    <row r="2">
      <c r="A2" t="inlineStr">
        <is>
          <t>Memory reduction factor</t>
        </is>
      </c>
      <c r="B2" s="51" t="n">
        <v>100</v>
      </c>
      <c r="C2" t="inlineStr">
        <is>
          <t>x</t>
        </is>
      </c>
      <c r="D2" s="3" t="inlineStr">
        <is>
          <t>1e-2 memory = 100x less (O(1) internal state vs transformer O(T) KV cache).</t>
        </is>
      </c>
    </row>
    <row r="3">
      <c r="A3" t="inlineStr">
        <is>
          <t>FLOPs reduction factor</t>
        </is>
      </c>
      <c r="B3" s="51">
        <f>$B$24</f>
        <v/>
      </c>
      <c r="C3" t="inlineStr">
        <is>
          <t>x</t>
        </is>
      </c>
      <c r="D3" s="3" t="inlineStr">
        <is>
          <t>TODAY scenario (default, RE-BASED 2026-09-01) = x793: the full-workload serving lever (decode 2.5 ms/token x 64 resident streams — an ESTIMATE, aggregate-decode receipt PENDING — prefill at the BANKED x3.936 campaign speedup) x the fit-derived equal-quality parameter ratio x4.22 at 1T (rows 23-25 below). Overtype with =B25 for the CEILING scenario (x816 = same lever, prefill at the full x7.03 maturity factor), or any number. The pre-campaign x9.24 lever is RETIRED 2026-09-01 (measured on kernels that no longer exist). See ServingTraining for the measured background blend.</t>
        </is>
      </c>
    </row>
    <row r="4">
      <c r="A4" t="inlineStr">
        <is>
          <t>Memory share of GPU cost (BOM)</t>
        </is>
      </c>
      <c r="B4" s="52" t="n">
        <v>0.6</v>
      </c>
      <c r="C4" t="inlineStr">
        <is>
          <t>frac</t>
        </is>
      </c>
      <c r="D4" s="3" t="inlineStr">
        <is>
          <t>HBM ~45% of B200 COGS + most CoWoS packaging -&gt; ~60% memory / ~40% compute. See Evidence.</t>
        </is>
      </c>
    </row>
    <row r="5">
      <c r="A5" t="inlineStr">
        <is>
          <t>Opex / energy reduction factor</t>
        </is>
      </c>
      <c r="B5" s="51">
        <f>B20</f>
        <v/>
      </c>
      <c r="C5" t="inlineStr">
        <is>
          <t>x</t>
        </is>
      </c>
      <c r="D5" s="3" t="inlineStr">
        <is>
          <t>DERIVED default = cost-weighted reduction (B20): energy splits memory/compute like cost. Overtype this cell to override.</t>
        </is>
      </c>
    </row>
    <row r="6">
      <c r="A6" t="inlineStr">
        <is>
          <t>Discount rate</t>
        </is>
      </c>
      <c r="B6" s="52" t="n">
        <v>0.06</v>
      </c>
      <c r="C6" t="inlineStr">
        <is>
          <t>frac</t>
        </is>
      </c>
      <c r="D6" s="3" t="inlineStr">
        <is>
          <t>Perpetuity capitalization: value = annual benefit / rate (=16.7x at 6%).</t>
        </is>
      </c>
    </row>
    <row r="7">
      <c r="A7" t="inlineStr">
        <is>
          <t>Fully-loaded cost per GPU</t>
        </is>
      </c>
      <c r="B7" s="53" t="n">
        <v>50000</v>
      </c>
      <c r="C7" t="inlineStr">
        <is>
          <t>$</t>
        </is>
      </c>
      <c r="D7" s="3" t="inlineStr">
        <is>
          <t>B200-class GPU + share of server, NVLink, networking.</t>
        </is>
      </c>
    </row>
    <row r="8">
      <c r="A8" t="inlineStr">
        <is>
          <t>Wall power per GPU</t>
        </is>
      </c>
      <c r="B8" s="51" t="n">
        <v>1.8</v>
      </c>
      <c r="C8" t="inlineStr">
        <is>
          <t>kW</t>
        </is>
      </c>
      <c r="D8" s="3" t="inlineStr">
        <is>
          <t>~1 kW TDP + node overhead x PUE 1.3.</t>
        </is>
      </c>
    </row>
    <row r="9">
      <c r="A9" t="inlineStr">
        <is>
          <t>Electricity rate</t>
        </is>
      </c>
      <c r="B9" s="51" t="n">
        <v>0.08</v>
      </c>
      <c r="C9" t="inlineStr">
        <is>
          <t>$/kWh</t>
        </is>
      </c>
      <c r="D9" s="3" t="inlineStr">
        <is>
          <t>Datacenter wholesale; raise to 0.10-0.12 for grid colo.</t>
        </is>
      </c>
    </row>
    <row r="10">
      <c r="A10" t="inlineStr">
        <is>
          <t>Cooling/ops overhead on energy</t>
        </is>
      </c>
      <c r="B10" s="52" t="n">
        <v>0.25</v>
      </c>
      <c r="C10" t="inlineStr">
        <is>
          <t>frac</t>
        </is>
      </c>
      <c r="D10" s="3" t="inlineStr">
        <is>
          <t>Non-power running cost as fraction of electricity.</t>
        </is>
      </c>
    </row>
    <row r="11">
      <c r="A11" t="inlineStr">
        <is>
          <t>Fleet useful life</t>
        </is>
      </c>
      <c r="B11" s="51" t="n">
        <v>4</v>
      </c>
      <c r="C11" t="inlineStr">
        <is>
          <t>yr</t>
        </is>
      </c>
      <c r="D11" s="3" t="inlineStr">
        <is>
          <t>AI-GPU depreciation life.</t>
        </is>
      </c>
    </row>
    <row r="12">
      <c r="A12" t="inlineStr">
        <is>
          <t>SpaceX market cap</t>
        </is>
      </c>
      <c r="B12" s="54" t="n">
        <v>1950</v>
      </c>
      <c r="C12" t="inlineStr">
        <is>
          <t>$B</t>
        </is>
      </c>
      <c r="D12" s="3" t="inlineStr">
        <is>
          <t>~$1.95T Aug 2026; IPO 2026-06-12 at ~$1.77T (market data; used by Sensitivity).</t>
        </is>
      </c>
    </row>
    <row r="13">
      <c r="A13" t="inlineStr">
        <is>
          <t>Datacenter scaling factor</t>
        </is>
      </c>
      <c r="B13" s="52"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52" t="n">
        <v>0.8</v>
      </c>
      <c r="C14" t="inlineStr">
        <is>
          <t>frac</t>
        </is>
      </c>
      <c r="D14" s="3" t="inlineStr">
        <is>
          <t>GLOBAL estimate (Totals): named firms' share of worldwide AI capex; the rest (other clouds, China, neoclouds, xAI, sovereign) is grossed up pro-rata. ESTIMATE.</t>
        </is>
      </c>
    </row>
    <row r="15">
      <c r="A15" s="34" t="inlineStr">
        <is>
          <t>REDUCTION ENGINE (Amdahl cost-weighting) — derived</t>
        </is>
      </c>
      <c r="B15" s="35" t="n"/>
      <c r="C15" s="35" t="n"/>
      <c r="D15" s="35" t="n"/>
    </row>
    <row r="16">
      <c r="A16" t="inlineStr">
        <is>
          <t>Compute share of GPU cost</t>
        </is>
      </c>
      <c r="B16" s="25">
        <f>1-B4</f>
        <v/>
      </c>
      <c r="D16" s="3" t="inlineStr">
        <is>
          <t>1 - memory share</t>
        </is>
      </c>
    </row>
    <row r="17">
      <c r="A17" t="inlineStr">
        <is>
          <t>Memory cost fraction after reduction</t>
        </is>
      </c>
      <c r="B17" s="55">
        <f>B4/B2</f>
        <v/>
      </c>
      <c r="D17" s="3" t="inlineStr">
        <is>
          <t>memory share / memory reduction</t>
        </is>
      </c>
    </row>
    <row r="18">
      <c r="A18" t="inlineStr">
        <is>
          <t>Compute cost fraction after reduction</t>
        </is>
      </c>
      <c r="B18" s="55">
        <f>B16/B3</f>
        <v/>
      </c>
      <c r="D18" s="3" t="inlineStr">
        <is>
          <t>compute share / FLOPs reduction</t>
        </is>
      </c>
    </row>
    <row r="19">
      <c r="A19" t="inlineStr">
        <is>
          <t>Residual cost fraction</t>
        </is>
      </c>
      <c r="B19" s="25">
        <f>B17+B18</f>
        <v/>
      </c>
      <c r="D19" s="3" t="inlineStr">
        <is>
          <t>Amdahl: floored by the least-reduced component</t>
        </is>
      </c>
    </row>
    <row r="20">
      <c r="A20" s="7" t="inlineStr">
        <is>
          <t>COST-WEIGHTED reduction factor</t>
        </is>
      </c>
      <c r="B20" s="50">
        <f>1/B19</f>
        <v/>
      </c>
      <c r="C20" t="inlineStr">
        <is>
          <t>x</t>
        </is>
      </c>
      <c r="D20" s="3" t="inlineStr">
        <is>
          <t>1 / residual. The realistic $ reduction used everywhere.</t>
        </is>
      </c>
    </row>
    <row r="22">
      <c r="A22" s="34" t="inlineStr">
        <is>
          <t>SCENARIOS (2026-09-01 ruling) — TODAY (default) vs CEILING (campaign landed)</t>
        </is>
      </c>
      <c r="B22" s="35" t="n"/>
      <c r="C22" s="35" t="n"/>
      <c r="D22" s="35" t="n"/>
    </row>
    <row r="23">
      <c r="A23" t="inlineStr">
        <is>
          <t>Equal-quality parameter ratio at 1T</t>
        </is>
      </c>
      <c r="B23" s="56"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7" t="inlineStr">
        <is>
          <t>TODAY compute lever = serving lever x ratio</t>
        </is>
      </c>
      <c r="B24" s="57">
        <f>188.0305*$B$23</f>
        <v/>
      </c>
      <c r="C24" t="inlineStr">
        <is>
          <t>x</t>
        </is>
      </c>
      <c r="D24" s="3" t="inlineStr">
        <is>
          <t>B3 (the FLOPs lever) points here by default. The x188.0 serving half is model-computed (campaign_landed_flop_lever): decode 2.5 ms/token x 64 resident streams — an ESTIMATE, the aggregate-decode receipt is PENDING — with prefill at the BANKED x3.936 (our own step went 400.4 -&gt; 101.7 ms at B16/T2048; 2026-08-29 clean-wall position of record); transformer side stays the measured 1/context law at its KV ceiling, 128k E[context].</t>
        </is>
      </c>
    </row>
    <row r="25">
      <c r="A25" t="inlineStr">
        <is>
          <t>CEILING compute lever (campaign landed)</t>
        </is>
      </c>
      <c r="B25" s="42">
        <f>193.3376*$B$23</f>
        <v/>
      </c>
      <c r="C25" t="inlineStr">
        <is>
          <t>x</t>
        </is>
      </c>
      <c r="D25" s="3" t="inlineStr">
        <is>
          <t>Same full-workload lever with prefill at the full x7.03 maturity factor = x3.936 MEASURED (already banked) x x1.786 TARGET (the funded 8k-win gate, no receipt yet). Decode-dominated, so it sits only ~3% above TODAY. Overtype B3 with =B25 to run the workbook at the ceiling (~x154 cost-weighted — memory-floored; dollars move within rounding).</t>
        </is>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34" t="inlineStr">
        <is>
          <t>SENSITIVITY (SpaceX) — TODAY vs CEILING vs live cost-weighted</t>
        </is>
      </c>
      <c r="B1" s="35" t="n"/>
      <c r="C1" s="35" t="n"/>
      <c r="D1" s="35" t="n"/>
      <c r="E1" s="35" t="n"/>
    </row>
    <row r="2">
      <c r="A2" s="7" t="inlineStr">
        <is>
          <t>Metric</t>
        </is>
      </c>
      <c r="B2" s="20" t="inlineStr">
        <is>
          <t>TODAY (~154x)</t>
        </is>
      </c>
      <c r="C2" s="20" t="inlineStr">
        <is>
          <t>CEILING (~154x)</t>
        </is>
      </c>
      <c r="D2" s="20" t="inlineStr">
        <is>
          <t>Cost-weighted (live)</t>
        </is>
      </c>
    </row>
    <row r="3">
      <c r="A3" t="inlineStr">
        <is>
          <t>Efficient acquisition ($B)</t>
        </is>
      </c>
      <c r="B3" s="42">
        <f>SpaceX!$B$12/(1/(Inputs!$B$4/Inputs!$B$2+(1-Inputs!$B$4)/Inputs!$B$24))</f>
        <v/>
      </c>
      <c r="C3" s="42">
        <f>SpaceX!$B$12/(1/(Inputs!$B$4/Inputs!$B$2+(1-Inputs!$B$4)/Inputs!$B$25))</f>
        <v/>
      </c>
      <c r="D3" s="42">
        <f>SpaceX!$B$12/(Inputs!$B$20)</f>
        <v/>
      </c>
    </row>
    <row r="4">
      <c r="A4" t="inlineStr">
        <is>
          <t>Capex avoided/yr ($B)</t>
        </is>
      </c>
      <c r="B4" s="42">
        <f>SpaceX!$B$12-SpaceX!$B$12/(1/(Inputs!$B$4/Inputs!$B$2+(1-Inputs!$B$4)/Inputs!$B$24))</f>
        <v/>
      </c>
      <c r="C4" s="42">
        <f>SpaceX!$B$12-SpaceX!$B$12/(1/(Inputs!$B$4/Inputs!$B$2+(1-Inputs!$B$4)/Inputs!$B$25))</f>
        <v/>
      </c>
      <c r="D4" s="42">
        <f>SpaceX!$B$12-SpaceX!$B$12/(Inputs!$B$20)</f>
        <v/>
      </c>
    </row>
    <row r="5">
      <c r="A5" t="inlineStr">
        <is>
          <t>Annual opex savings ($M)</t>
        </is>
      </c>
      <c r="B5" s="39">
        <f>SpaceX!$B$26</f>
        <v/>
      </c>
      <c r="C5" s="39">
        <f>SpaceX!$B$26</f>
        <v/>
      </c>
      <c r="D5" s="39">
        <f>SpaceX!$B$26</f>
        <v/>
      </c>
    </row>
    <row r="6">
      <c r="A6" t="inlineStr">
        <is>
          <t>Sustained annual benefit ($B)</t>
        </is>
      </c>
      <c r="B6" s="42">
        <f>(SpaceX!$B$12-SpaceX!$B$12/(1/(Inputs!$B$4/Inputs!$B$2+(1-Inputs!$B$4)/Inputs!$B$24)))+SpaceX!$B$26/1000</f>
        <v/>
      </c>
      <c r="C6" s="42">
        <f>(SpaceX!$B$12-SpaceX!$B$12/(1/(Inputs!$B$4/Inputs!$B$2+(1-Inputs!$B$4)/Inputs!$B$25)))+SpaceX!$B$26/1000</f>
        <v/>
      </c>
      <c r="D6" s="42">
        <f>(SpaceX!$B$12-SpaceX!$B$12/(Inputs!$B$20))+SpaceX!$B$26/1000</f>
        <v/>
      </c>
    </row>
    <row r="7">
      <c r="A7" t="inlineStr">
        <is>
          <t>Capitalized value ($B)</t>
        </is>
      </c>
      <c r="B7" s="41">
        <f>((SpaceX!$B$12-SpaceX!$B$12/(1/(Inputs!$B$4/Inputs!$B$2+(1-Inputs!$B$4)/Inputs!$B$24)))+SpaceX!$B$26/1000)/Inputs!$B$6</f>
        <v/>
      </c>
      <c r="C7" s="41">
        <f>((SpaceX!$B$12-SpaceX!$B$12/(1/(Inputs!$B$4/Inputs!$B$2+(1-Inputs!$B$4)/Inputs!$B$25)))+SpaceX!$B$26/1000)/Inputs!$B$6</f>
        <v/>
      </c>
      <c r="D7" s="41">
        <f>((SpaceX!$B$12-SpaceX!$B$12/(Inputs!$B$20))+SpaceX!$B$26/1000)/Inputs!$B$6</f>
        <v/>
      </c>
    </row>
    <row r="8">
      <c r="A8" t="inlineStr">
        <is>
          <t>% of market cap</t>
        </is>
      </c>
      <c r="B8" s="25">
        <f>(((SpaceX!$B$12-SpaceX!$B$12/(1/(Inputs!$B$4/Inputs!$B$2+(1-Inputs!$B$4)/Inputs!$B$24)))+SpaceX!$B$26/1000)/Inputs!$B$6)/Inputs!$B$12</f>
        <v/>
      </c>
      <c r="C8" s="25">
        <f>(((SpaceX!$B$12-SpaceX!$B$12/(1/(Inputs!$B$4/Inputs!$B$2+(1-Inputs!$B$4)/Inputs!$B$25)))+SpaceX!$B$26/1000)/Inputs!$B$6)/Inputs!$B$12</f>
        <v/>
      </c>
      <c r="D8" s="25">
        <f>(((SpaceX!$B$12-SpaceX!$B$12/(Inputs!$B$20))+SpaceX!$B$26/1000)/Inputs!$B$6)/Inputs!$B$12</f>
        <v/>
      </c>
    </row>
    <row r="10">
      <c r="A10" s="3" t="inlineStr">
        <is>
          <t>Base = SpaceX accelerator capex (SpaceX!B12), not total capex. The 'Cost-weighted' column ties to the SpaceX tab (B25/B27) at the conservative dc_scale=0.</t>
        </is>
      </c>
    </row>
    <row r="12">
      <c r="A12" s="34" t="inlineStr">
        <is>
          <t>CONTEXT SENSITIVITY — prefill share of serving cost vs fleet E[context]</t>
        </is>
      </c>
      <c r="B12" s="35" t="n"/>
      <c r="C12" s="35" t="n"/>
      <c r="D12" s="35" t="n"/>
      <c r="E12" s="35" t="n"/>
      <c r="F12" s="35" t="n"/>
    </row>
    <row r="13">
      <c r="A13" s="20" t="inlineStr">
        <is>
          <t>E[context]</t>
        </is>
      </c>
      <c r="B13" s="20" t="inlineStr">
        <is>
          <t>TF prefill share</t>
        </is>
      </c>
      <c r="C13" s="20" t="inlineStr">
        <is>
          <t>Our prefill share (Today)</t>
        </is>
      </c>
      <c r="D13" s="20" t="inlineStr">
        <is>
          <t>Today lever (x)</t>
        </is>
      </c>
      <c r="E13" s="20" t="inlineStr">
        <is>
          <t>Ceiling lever (x)</t>
        </is>
      </c>
      <c r="F13" s="20" t="inlineStr">
        <is>
          <t>Today-&gt;Ceiling gap</t>
        </is>
      </c>
    </row>
    <row r="14">
      <c r="A14" t="inlineStr">
        <is>
          <t>8k</t>
        </is>
      </c>
      <c r="B14" s="55" t="n">
        <v>0.005899250258734248</v>
      </c>
      <c r="C14" s="25" t="n">
        <v>0.05208995366081766</v>
      </c>
      <c r="D14" s="41" t="n">
        <v>50.29665229131971</v>
      </c>
      <c r="E14" s="41" t="n">
        <v>51.47706163855121</v>
      </c>
      <c r="F14" s="25" t="n">
        <v>0.02346894462069837</v>
      </c>
    </row>
    <row r="15">
      <c r="A15" t="inlineStr">
        <is>
          <t>32k</t>
        </is>
      </c>
      <c r="B15" s="55" t="n">
        <v>0.002981160980333002</v>
      </c>
      <c r="C15" s="25" t="n">
        <v>0.05196631516233694</v>
      </c>
      <c r="D15" s="41" t="n">
        <v>200.6239377794075</v>
      </c>
      <c r="E15" s="41" t="n">
        <v>205.3209324850361</v>
      </c>
      <c r="F15" s="25" t="n">
        <v>0.02341193557267873</v>
      </c>
    </row>
    <row r="16">
      <c r="A16" s="7" t="inlineStr">
        <is>
          <t>128k (pinned)</t>
        </is>
      </c>
      <c r="B16" s="55" t="n">
        <v>0.002359266800993781</v>
      </c>
      <c r="C16" s="25" t="n">
        <v>0.06235575593664416</v>
      </c>
      <c r="D16" s="41" t="n">
        <v>793.2064858179596</v>
      </c>
      <c r="E16" s="41" t="n">
        <v>815.5945097216911</v>
      </c>
      <c r="F16" s="25" t="n">
        <v>0.0282247110985796</v>
      </c>
    </row>
    <row r="17">
      <c r="A17" t="inlineStr">
        <is>
          <t>256k</t>
        </is>
      </c>
      <c r="B17" s="55" t="n">
        <v>0.00230050437708008</v>
      </c>
      <c r="C17" s="25" t="n">
        <v>0.08221381175542121</v>
      </c>
      <c r="D17" s="41" t="n">
        <v>1552.723400990788</v>
      </c>
      <c r="E17" s="41" t="n">
        <v>1611.029390134314</v>
      </c>
      <c r="F17" s="25" t="n">
        <v>0.03755078921739785</v>
      </c>
    </row>
    <row r="19">
      <c r="A19" s="3" t="inlineStr">
        <is>
          <t>Cost = box wall-clock, not FLOPs. The transformer's decode leg is KV-bandwidth-bound (measured 1/context law) while its prefill runs near peak, so prefill is &lt;1% of its serving cost at every context — which is why the banked x3.936 prefill (TODAY) and the full x7.03 (CEILING) land within a few percent of each other. Inputs!B24/B25 quote the pinned 128k row (2026-08-31 fleet-context ruling). Static values from the the model — rebuild the workbook to refresh.</t>
        </is>
      </c>
    </row>
  </sheetData>
  <mergeCells count="2">
    <mergeCell ref="A19:F19"/>
    <mergeCell ref="A10:E10"/>
  </mergeCells>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34" t="inlineStr">
        <is>
          <t>COST LADDER — $/H100-equivalent GPU-hour (at scale). Green = market price; yellow = assumption.</t>
        </is>
      </c>
      <c r="B1" s="35" t="n"/>
      <c r="C1" s="35" t="n"/>
      <c r="D1" s="35" t="n"/>
    </row>
    <row r="2">
      <c r="A2" s="7" t="inlineStr">
        <is>
          <t>Procurement mode</t>
        </is>
      </c>
      <c r="B2" s="7" t="inlineStr">
        <is>
          <t>$/hr low</t>
        </is>
      </c>
      <c r="C2" s="7" t="inlineStr">
        <is>
          <t>$/hr high</t>
        </is>
      </c>
      <c r="D2" s="7" t="inlineStr">
        <is>
          <t>What's baked into the price</t>
        </is>
      </c>
    </row>
    <row r="3">
      <c r="A3" t="inlineStr">
        <is>
          <t>Own custom silicon (TPU/Trainium)</t>
        </is>
      </c>
      <c r="B3" s="58" t="n">
        <v>0.9</v>
      </c>
      <c r="C3" s="58" t="n">
        <v>1.4</v>
      </c>
      <c r="D3" s="3" t="inlineStr">
        <is>
          <t>COGS + modest Broadcom/Marvell margin + power + DC. NO NVIDIA margin.</t>
        </is>
      </c>
    </row>
    <row r="4">
      <c r="A4" t="inlineStr">
        <is>
          <t>Buy + operate NVIDIA (scale)</t>
        </is>
      </c>
      <c r="B4" s="58" t="n">
        <v>1.5</v>
      </c>
      <c r="C4" s="58" t="n">
        <v>2</v>
      </c>
      <c r="D4" s="3" t="inlineStr">
        <is>
          <t>NVIDIA ~84% gross margin baked into capex + power + DC.</t>
        </is>
      </c>
    </row>
    <row r="5">
      <c r="A5" t="inlineStr">
        <is>
          <t>Rent NVIDIA - neocloud / committed</t>
        </is>
      </c>
      <c r="B5" s="58" t="n">
        <v>2</v>
      </c>
      <c r="C5" s="58" t="n">
        <v>3.5</v>
      </c>
      <c r="D5" s="3" t="inlineStr">
        <is>
          <t>+ cloud provider capex recovery &amp; margin.</t>
        </is>
      </c>
    </row>
    <row r="6">
      <c r="A6" t="inlineStr">
        <is>
          <t>Rent NVIDIA - hyperscaler on-demand</t>
        </is>
      </c>
      <c r="B6" s="58" t="n">
        <v>3</v>
      </c>
      <c r="C6" s="58" t="n">
        <v>7</v>
      </c>
      <c r="D6" s="3" t="inlineStr">
        <is>
          <t>+ utilization risk + flexibility premium (new B200 to ~$14).</t>
        </is>
      </c>
    </row>
    <row r="8">
      <c r="A8" s="34" t="inlineStr">
        <is>
          <t>OWNED-NVIDIA TCO CROSS-CHECK (from Inputs)</t>
        </is>
      </c>
      <c r="B8" s="35" t="n"/>
      <c r="C8" s="35" t="n"/>
      <c r="D8" s="35" t="n"/>
    </row>
    <row r="9">
      <c r="A9" t="inlineStr">
        <is>
          <t>Utilization</t>
        </is>
      </c>
      <c r="B9" s="33" t="n">
        <v>0.85</v>
      </c>
    </row>
    <row r="10">
      <c r="A10" t="inlineStr">
        <is>
          <t>Capex $/hr</t>
        </is>
      </c>
      <c r="B10" s="42">
        <f>Inputs!$B$7/(Inputs!$B$11*8760*B9)</f>
        <v/>
      </c>
      <c r="D10" s="3" t="inlineStr">
        <is>
          <t>fully-loaded $/GPU / (life x 8760h x utilization)</t>
        </is>
      </c>
    </row>
    <row r="11">
      <c r="A11" t="inlineStr">
        <is>
          <t>Power $/hr</t>
        </is>
      </c>
      <c r="B11" s="42">
        <f>Inputs!$B$8*Inputs!$B$9</f>
        <v/>
      </c>
      <c r="D11" s="3" t="inlineStr">
        <is>
          <t>wall kW x $/kWh</t>
        </is>
      </c>
    </row>
    <row r="12">
      <c r="A12" t="inlineStr">
        <is>
          <t>DC/staff adder $/hr</t>
        </is>
      </c>
      <c r="B12" s="56" t="n">
        <v>0.3</v>
      </c>
    </row>
    <row r="13">
      <c r="A13" s="7" t="inlineStr">
        <is>
          <t>Owned TCO $/hr</t>
        </is>
      </c>
      <c r="B13" s="57">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34" t="inlineStr">
        <is>
          <t>SERVING &amp; TRAINING — measured 2026-08-07/08 (2/4/8 x H100), priced at the CostLadder rent mid ($2.50/GPU-hr). Source: internal measurement archive (keys in the model).</t>
        </is>
      </c>
      <c r="B1" s="35" t="n"/>
      <c r="C1" s="35" t="n"/>
      <c r="D1" s="35" t="n"/>
      <c r="E1" s="35" t="n"/>
      <c r="F1" s="35" t="n"/>
    </row>
    <row r="4">
      <c r="A4" s="34" t="inlineStr">
        <is>
          <t>WORKLOAD — measured pre-campaign blend (background; the workbook lever lives at Inputs B24/B25)</t>
        </is>
      </c>
      <c r="B4" s="35" t="n"/>
      <c r="C4" s="35" t="n"/>
      <c r="D4" s="35" t="n"/>
      <c r="E4" s="35" t="n"/>
      <c r="F4" s="35"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51" t="n">
        <v>10</v>
      </c>
      <c r="F7" s="3" t="inlineStr">
        <is>
          <t>~10:1 = code / reasoning / agent traces. 50-100:1 = RAG and document QA.</t>
        </is>
      </c>
    </row>
    <row r="8">
      <c r="A8" t="inlineStr">
        <is>
          <t>E[context] (tokens)</t>
        </is>
      </c>
      <c r="B8" s="53" t="n">
        <v>65536</v>
      </c>
      <c r="F8" s="3" t="inlineStr">
        <is>
          <t>Our decode cost is context-flat and the transformer's is linear, so the decode advantage is linear in this.</t>
        </is>
      </c>
    </row>
    <row r="9">
      <c r="A9" t="inlineStr">
        <is>
          <t>Training share of accelerator cost</t>
        </is>
      </c>
      <c r="B9" s="56" t="n">
        <v>0</v>
      </c>
      <c r="F9" s="3" t="inlineStr">
        <is>
          <t>0 = a serving-cost claim. Training is a LOSS at short sequence today; above ~0.06 the blend drops below 1.</t>
        </is>
      </c>
    </row>
    <row r="11">
      <c r="A11" s="7" t="inlineStr">
        <is>
          <t>Measured constants</t>
        </is>
      </c>
    </row>
    <row r="12">
      <c r="A12" t="inlineStr">
        <is>
          <t>Owned decode, tokens/s/box (context-flat)</t>
        </is>
      </c>
      <c r="B12" s="38" t="n">
        <v>4496.668604837461</v>
      </c>
    </row>
    <row r="13">
      <c r="A13" t="inlineStr">
        <is>
          <t>KV MB per token per stream</t>
        </is>
      </c>
      <c r="B13" s="59" t="n">
        <v>0.15234375</v>
      </c>
    </row>
    <row r="14">
      <c r="A14" t="inlineStr">
        <is>
          <t>HBM TB/s per GPU</t>
        </is>
      </c>
      <c r="B14" s="56" t="n">
        <v>3.35</v>
      </c>
    </row>
    <row r="15">
      <c r="A15" t="inlineStr">
        <is>
          <t>Transformer KV compression (mature stack)</t>
        </is>
      </c>
      <c r="B15" s="51" t="n">
        <v>1</v>
      </c>
    </row>
    <row r="16">
      <c r="A16" t="inlineStr">
        <is>
          <t>GPUs per box</t>
        </is>
      </c>
      <c r="B16" s="60" t="n">
        <v>8</v>
      </c>
    </row>
    <row r="17">
      <c r="A17" t="inlineStr">
        <is>
          <t>Training advantage, short sequence (owned / transformer)</t>
        </is>
      </c>
      <c r="B17" s="61"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7" t="inlineStr">
        <is>
          <t>Derived</t>
        </is>
      </c>
    </row>
    <row r="20">
      <c r="A20" t="inlineStr">
        <is>
          <t>KV GB per stream</t>
        </is>
      </c>
      <c r="B20" s="42">
        <f>$B$8*$B$13/1024</f>
        <v/>
      </c>
    </row>
    <row r="21">
      <c r="A21" t="inlineStr">
        <is>
          <t>KV GB per stream, compressed</t>
        </is>
      </c>
      <c r="B21" s="62">
        <f>$B$20/$B$15</f>
        <v/>
      </c>
    </row>
    <row r="22">
      <c r="A22" t="inlineStr">
        <is>
          <t>Transformer decode, tokens/s/box</t>
        </is>
      </c>
      <c r="B22" s="41">
        <f>511.8416*32768/$B$8*$B$15*$B$16</f>
        <v/>
      </c>
      <c r="F22" s="3" t="inlineStr">
        <is>
          <t>MEASURED 1/context law (2026-08-14 re-base): 511.84 tok/s/GPU at 32,768 ctx x 32768/E[context] x KV-compression x GPUs. Crosses our flat 562/GPU near ~30k context.</t>
        </is>
      </c>
    </row>
    <row r="23">
      <c r="A23" t="inlineStr">
        <is>
          <t>Prefill table row (lookup)</t>
        </is>
      </c>
      <c r="B23" s="63">
        <f>MATCH($B$8,$A$33:$A$39,1)</f>
        <v/>
      </c>
    </row>
    <row r="24">
      <c r="A24" t="inlineStr">
        <is>
          <t>Prefill tokens/s/box — transformer</t>
        </is>
      </c>
      <c r="B24" s="41">
        <f>IF(INDEX($B$33:$B$39,MIN($B$23+1,7))=INDEX($B$33:$B$39,$B$23),INDEX($B$33:$B$39,$B$23),EXP(LN(INDEX($B$33:$B$39,$B$23))+(LN($B$8)-LN(INDEX($A$33:$A$39,$B$23)))/(LN(INDEX($A$33:$A$39,MIN($B$23+1,7)))-LN(INDEX($A$33:$A$39,$B$23)))*(LN(INDEX($B$33:$B$39,MIN($B$23+1,7)))-LN(INDEX($B$33:$B$39,$B$23)))))*$B$16</f>
        <v/>
      </c>
    </row>
    <row r="25">
      <c r="A25" t="inlineStr">
        <is>
          <t>Prefill tokens/s/box — owned</t>
        </is>
      </c>
      <c r="B25" s="41">
        <f>IF(INDEX($C$33:$C$39,MIN($B$23+1,7))=INDEX($C$33:$C$39,$B$23),INDEX($C$33:$C$39,$B$23),EXP(LN(INDEX($C$33:$C$39,$B$23))+(LN($B$8)-LN(INDEX($A$33:$A$39,$B$23)))/(LN(INDEX($A$33:$A$39,MIN($B$23+1,7)))-LN(INDEX($A$33:$A$39,$B$23)))*(LN(INDEX($C$33:$C$39,MIN($B$23+1,7)))-LN(INDEX($C$33:$C$39,$B$23)))))*$B$16</f>
        <v/>
      </c>
    </row>
    <row r="26">
      <c r="A26" t="inlineStr">
        <is>
          <t>Transformer seconds per generated token</t>
        </is>
      </c>
      <c r="B26" s="64">
        <f>$B$7/$B$24+1/$B$22</f>
        <v/>
      </c>
    </row>
    <row r="27">
      <c r="A27" t="inlineStr">
        <is>
          <t>Owned seconds per generated token</t>
        </is>
      </c>
      <c r="B27" s="64">
        <f>$B$7/$B$25+1/$B$12</f>
        <v/>
      </c>
    </row>
    <row r="28">
      <c r="A28" s="7" t="inlineStr">
        <is>
          <t>BLENDED COMPUTE LEVER (flop_factor)</t>
        </is>
      </c>
      <c r="B28" s="57">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42">
        <f>($B$7/$B$24)/($B$7/$B$25)</f>
        <v/>
      </c>
    </row>
    <row r="30">
      <c r="A30" t="inlineStr">
        <is>
          <t xml:space="preserve">  of which: decode advantage</t>
        </is>
      </c>
      <c r="B30" s="65">
        <f>(1/$B$22)/(1/$B$12)</f>
        <v/>
      </c>
    </row>
    <row r="32">
      <c r="A32" s="7" t="inlineStr">
        <is>
          <t>Measured prefill throughput, tokens/s/GPU (bf16 saturated lane, d2048)</t>
        </is>
      </c>
      <c r="D32" s="66" t="inlineStr">
        <is>
          <t>Context</t>
        </is>
      </c>
      <c r="E32" s="66" t="inlineStr">
        <is>
          <t>Transformer</t>
        </is>
      </c>
      <c r="F32" s="66" t="inlineStr">
        <is>
          <t>Owned</t>
        </is>
      </c>
    </row>
    <row r="33">
      <c r="A33" s="67" t="n">
        <v>2048</v>
      </c>
      <c r="B33" s="38" t="n">
        <v>4682606.88285999</v>
      </c>
      <c r="C33" s="38" t="n">
        <v>1185825</v>
      </c>
    </row>
    <row r="34">
      <c r="A34" s="67" t="n">
        <v>8192</v>
      </c>
      <c r="B34" s="38" t="n">
        <v>3450080</v>
      </c>
      <c r="C34" s="38" t="n">
        <v>1183690</v>
      </c>
    </row>
    <row r="35">
      <c r="A35" s="67" t="n">
        <v>32768</v>
      </c>
      <c r="B35" s="38" t="n">
        <v>1711802</v>
      </c>
      <c r="C35" s="38" t="n">
        <v>1186661</v>
      </c>
    </row>
    <row r="36">
      <c r="A36" s="67" t="n">
        <v>65536</v>
      </c>
      <c r="B36" s="38" t="n">
        <v>1007187</v>
      </c>
      <c r="C36" s="38" t="n">
        <v>1181622</v>
      </c>
    </row>
    <row r="37">
      <c r="A37" s="67" t="n">
        <v>131072</v>
      </c>
      <c r="B37" s="38" t="n">
        <v>541094</v>
      </c>
      <c r="C37" s="38" t="n">
        <v>978107</v>
      </c>
    </row>
    <row r="38">
      <c r="A38" s="67" t="n">
        <v>262144</v>
      </c>
      <c r="B38" s="38" t="n">
        <v>277474</v>
      </c>
      <c r="C38" s="38" t="n">
        <v>726142</v>
      </c>
    </row>
    <row r="39">
      <c r="A39" s="67" t="n">
        <v>524288</v>
      </c>
      <c r="B39" s="38" t="n">
        <v>140820</v>
      </c>
      <c r="C39" s="38" t="n">
        <v>478522</v>
      </c>
    </row>
    <row r="41">
      <c r="A41" s="3"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34" t="inlineStr">
        <is>
          <t>Serving at long context — $/1M generated tokens, one 8xH100 box</t>
        </is>
      </c>
      <c r="B43" s="35" t="n"/>
      <c r="C43" s="35" t="n"/>
      <c r="D43" s="35" t="n"/>
      <c r="E43" s="35" t="n"/>
      <c r="F43" s="35" t="n"/>
    </row>
    <row r="44">
      <c r="A44" s="66" t="inlineStr">
        <is>
          <t>Context (tokens)</t>
        </is>
      </c>
      <c r="B44" s="66" t="inlineStr">
        <is>
          <t>bAttention $/1M tok</t>
        </is>
      </c>
      <c r="C44" s="66" t="inlineStr">
        <is>
          <t>Transformer $/1M tok (mature stack)</t>
        </is>
      </c>
      <c r="D44" s="66" t="inlineStr">
        <is>
          <t>TF streams/GPU</t>
        </is>
      </c>
      <c r="E44" s="66" t="inlineStr">
        <is>
          <t>Cost ratio</t>
        </is>
      </c>
      <c r="F44" s="66" t="inlineStr">
        <is>
          <t>Note</t>
        </is>
      </c>
    </row>
    <row r="45">
      <c r="A45" s="67" t="n">
        <v>4096</v>
      </c>
      <c r="B45" s="68" t="n">
        <v>1.235482541359387</v>
      </c>
      <c r="C45" s="69" t="n">
        <v>0.1695945640120853</v>
      </c>
      <c r="D45" s="63" t="n">
        <v>118</v>
      </c>
      <c r="E45" s="70" t="n">
        <v>0.1372698992779634</v>
      </c>
      <c r="F45" s="24" t="inlineStr"/>
    </row>
    <row r="46">
      <c r="A46" s="67" t="n">
        <v>16384</v>
      </c>
      <c r="B46" s="68" t="n">
        <v>1.235482541359387</v>
      </c>
      <c r="C46" s="69" t="n">
        <v>0.678378256048341</v>
      </c>
      <c r="D46" s="63" t="n">
        <v>29</v>
      </c>
      <c r="E46" s="70" t="n">
        <v>0.5490795971118535</v>
      </c>
      <c r="F46" s="24" t="inlineStr"/>
    </row>
    <row r="47">
      <c r="A47" s="67" t="n">
        <v>32768</v>
      </c>
      <c r="B47" s="68" t="n">
        <v>1.235482541359387</v>
      </c>
      <c r="C47" s="69" t="n">
        <v>1.356756512096682</v>
      </c>
      <c r="D47" s="63" t="n">
        <v>14</v>
      </c>
      <c r="E47" s="70" t="n">
        <v>1.098159194223707</v>
      </c>
      <c r="F47" s="24" t="inlineStr"/>
    </row>
    <row r="48">
      <c r="A48" s="67" t="n">
        <v>65536</v>
      </c>
      <c r="B48" s="68" t="n">
        <v>1.235482541359387</v>
      </c>
      <c r="C48" s="69" t="n">
        <v>2.713513024193364</v>
      </c>
      <c r="D48" s="63" t="n">
        <v>7</v>
      </c>
      <c r="E48" s="70" t="n">
        <v>2.196318388447414</v>
      </c>
      <c r="F48" s="24" t="inlineStr"/>
    </row>
    <row r="49">
      <c r="A49" s="67" t="n">
        <v>131072</v>
      </c>
      <c r="B49" s="68" t="n">
        <v>1.235482541359387</v>
      </c>
      <c r="C49" s="69" t="n">
        <v>5.427026048386728</v>
      </c>
      <c r="D49" s="63" t="n">
        <v>3</v>
      </c>
      <c r="E49" s="70" t="n">
        <v>4.392636776894828</v>
      </c>
      <c r="F49" s="24" t="inlineStr"/>
    </row>
    <row r="50">
      <c r="A50" s="67" t="n">
        <v>262144</v>
      </c>
      <c r="B50" s="68" t="n">
        <v>1.235482541359387</v>
      </c>
      <c r="C50" s="69" t="n">
        <v>10.85405209677346</v>
      </c>
      <c r="D50" s="63" t="n">
        <v>1</v>
      </c>
      <c r="E50" s="70" t="n">
        <v>8.785273553789656</v>
      </c>
      <c r="F50" s="24" t="inlineStr">
        <is>
          <t>a measured decode cell (64 streams/GPU against the transformer 1)</t>
        </is>
      </c>
    </row>
    <row r="51">
      <c r="A51" s="67" t="n">
        <v>1048576</v>
      </c>
      <c r="B51" s="71" t="n">
        <v>1.235482541359387</v>
      </c>
      <c r="C51" s="69" t="n">
        <v/>
      </c>
      <c r="D51" s="63" t="n">
        <v>0</v>
      </c>
      <c r="E51" s="70" t="n">
        <v/>
      </c>
      <c r="F51" s="24"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34" t="inlineStr">
        <is>
          <t>Training at scale — same cluster, more steps/s</t>
        </is>
      </c>
      <c r="B54" s="35" t="n"/>
      <c r="C54" s="35" t="n"/>
      <c r="D54" s="35" t="n"/>
      <c r="E54" s="35" t="n"/>
      <c r="F54" s="35" t="n"/>
    </row>
    <row r="55">
      <c r="A55" s="66" t="inlineStr">
        <is>
          <t>Metric</t>
        </is>
      </c>
      <c r="B55" s="66" t="inlineStr">
        <is>
          <t>Value</t>
        </is>
      </c>
      <c r="C55" s="66" t="inlineStr">
        <is>
          <t>Ratio / consequence</t>
        </is>
      </c>
      <c r="D55" s="66" t="inlineStr"/>
      <c r="E55" s="66" t="inlineStr"/>
      <c r="F55" s="66" t="inlineStr">
        <is>
          <t>Status — internal measurement archive key</t>
        </is>
      </c>
    </row>
    <row r="56">
      <c r="A56" s="17" t="inlineStr">
        <is>
          <t>8-GPU speedup, matched load (16 in flight)</t>
        </is>
      </c>
      <c r="B56" s="72" t="inlineStr">
        <is>
          <t>x5.15 fwd+bwd vs x3.70 fwd-only Ulysses best</t>
        </is>
      </c>
      <c r="C56" s="73" t="inlineStr">
        <is>
          <t>x1.39 cluster throughput</t>
        </is>
      </c>
      <c r="F56" s="24" t="inlineStr">
        <is>
          <t>MEASURED — matched_load_curve</t>
        </is>
      </c>
    </row>
    <row r="57">
      <c r="A57" s="17" t="inlineStr">
        <is>
          <t>8-GPU speedup, deep load (256 in flight)</t>
        </is>
      </c>
      <c r="B57" s="72" t="inlineStr">
        <is>
          <t>x6.27 (pipeline keeps filling; TF saturated by 16)</t>
        </is>
      </c>
      <c r="C57" s="73" t="inlineStr">
        <is>
          <t>x1.70</t>
        </is>
      </c>
      <c r="F57" s="24" t="inlineStr">
        <is>
          <t>MEASURED — scaling_1to8_best</t>
        </is>
      </c>
    </row>
    <row r="58">
      <c r="A58" s="17" t="inlineStr">
        <is>
          <t>GPU-hours for the same training work</t>
        </is>
      </c>
      <c r="B58" s="74" t="inlineStr">
        <is>
          <t>-28% (matched) … -41% (deep)</t>
        </is>
      </c>
      <c r="C58" s="17" t="inlineStr"/>
      <c r="F58" s="24" t="inlineStr">
        <is>
          <t>derived</t>
        </is>
      </c>
    </row>
    <row r="59">
      <c r="A59" s="17" t="inlineStr">
        <is>
          <t>64k-token sequence on one 80 GB GPU</t>
        </is>
      </c>
      <c r="B59" s="72" t="inlineStr">
        <is>
          <t>30.9 GB fits vs OOM (78.4 GB attempted)</t>
        </is>
      </c>
      <c r="C59" s="17" t="inlineStr"/>
      <c r="F59" s="24" t="inlineStr">
        <is>
          <t>MEASURED — pipeline_feasibility</t>
        </is>
      </c>
    </row>
    <row r="60">
      <c r="A60" s="17" t="inlineStr">
        <is>
          <t>Pipeline per-GPU peak (flat in load)</t>
        </is>
      </c>
      <c r="B60" s="72" t="inlineStr">
        <is>
          <t>9.05 GB vs 43.3 GB GPipe stage</t>
        </is>
      </c>
      <c r="C60" s="73" t="inlineStr">
        <is>
          <t>x4.8 (component-scope, width-unmatched)</t>
        </is>
      </c>
      <c r="F60" s="24" t="inlineStr">
        <is>
          <t>MEASURED — pipeline_memory_asymmetry</t>
        </is>
      </c>
    </row>
    <row r="61">
      <c r="A61" s="17" t="inlineStr">
        <is>
          <t>Params for equal quality at 70B</t>
        </is>
      </c>
      <c r="B61" s="75" t="inlineStr">
        <is>
          <t>x4.1 [2.2-7.7] transformer</t>
        </is>
      </c>
      <c r="C61" s="17" t="inlineStr"/>
      <c r="F61" s="24" t="inlineStr">
        <is>
          <t>PROJECTION — quality_fit.ref_70B</t>
        </is>
      </c>
    </row>
    <row r="62">
      <c r="A62" s="17" t="inlineStr">
        <is>
          <t>Tokens for equal quality at 70B</t>
        </is>
      </c>
      <c r="B62" s="75" t="inlineStr">
        <is>
          <t>x1.68 [1.33-2.10] (beta=0.28 assumption)</t>
        </is>
      </c>
      <c r="C62" s="17" t="inlineStr"/>
      <c r="F62" s="24" t="inlineStr">
        <is>
          <t>PROJECTION — quality_fit.ref_70B</t>
        </is>
      </c>
    </row>
    <row r="63">
      <c r="A63" s="17" t="inlineStr">
        <is>
          <t>Token-by-token vs production training</t>
        </is>
      </c>
      <c r="B63" s="72" t="inlineStr">
        <is>
          <t>x24 cost to run training token-by-token instead of the production path</t>
        </is>
      </c>
      <c r="C63" s="17" t="inlineStr"/>
      <c r="F63" s="24" t="inlineStr">
        <is>
          <t>MEASURED — token-by-token ratio</t>
        </is>
      </c>
    </row>
    <row r="65">
      <c r="A65" s="34" t="inlineStr">
        <is>
          <t>The measured workload blend (pre-campaign background; the workbook lever lives at Inputs B24/B25)</t>
        </is>
      </c>
      <c r="B65" s="35" t="n"/>
      <c r="C65" s="35" t="n"/>
      <c r="D65" s="35" t="n"/>
      <c r="E65" s="35" t="n"/>
      <c r="F65" s="35"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34" t="inlineStr">
        <is>
          <t>Estimated TRAINING cost at equal quality (ESTIMATE: measured kernels x fitted quality)</t>
        </is>
      </c>
      <c r="B68" s="35" t="n"/>
      <c r="C68" s="35" t="n"/>
      <c r="D68" s="35" t="n"/>
      <c r="E68" s="35" t="n"/>
      <c r="F68" s="35"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1">
      <c r="A71" s="66" t="inlineStr">
        <is>
          <t>Transformer params</t>
        </is>
      </c>
      <c r="B71" s="66" t="inlineStr">
        <is>
          <t>s(N) fit</t>
        </is>
      </c>
      <c r="C71" s="66" t="inlineStr">
        <is>
          <t>Chinchilla 2k</t>
        </is>
      </c>
      <c r="D71" s="66" t="inlineStr">
        <is>
          <t>Chinchilla 8k</t>
        </is>
      </c>
      <c r="E71" s="66" t="inlineStr">
        <is>
          <t>Chinchilla 32k</t>
        </is>
      </c>
      <c r="F71" s="66" t="inlineStr">
        <is>
          <t>Chinchilla 256k*</t>
        </is>
      </c>
      <c r="G71" s="66" t="inlineStr">
        <is>
          <t>Fixed-D 2k / 8k / 32k / 256k*</t>
        </is>
      </c>
    </row>
    <row r="72">
      <c r="A72" s="17" t="inlineStr">
        <is>
          <t>1B</t>
        </is>
      </c>
      <c r="B72" s="56" t="n">
        <v>1.187536580013817</v>
      </c>
      <c r="C72" s="42" t="n">
        <v>0.8215525301701575</v>
      </c>
      <c r="D72" s="42" t="n">
        <v>1.151570796996963</v>
      </c>
      <c r="E72" s="42" t="n">
        <v>2.471643864304184</v>
      </c>
      <c r="F72" s="42" t="n">
        <v>14.79232582583825</v>
      </c>
      <c r="G72" s="73" t="inlineStr">
        <is>
          <t>0.69 / 0.97 / 2.08 / 12.46</t>
        </is>
      </c>
    </row>
    <row r="73">
      <c r="A73" s="17" t="inlineStr">
        <is>
          <t>10B</t>
        </is>
      </c>
      <c r="B73" s="56" t="n">
        <v>1.811968550196262</v>
      </c>
      <c r="C73" s="42" t="n">
        <v>1.912681494778985</v>
      </c>
      <c r="D73" s="42" t="n">
        <v>2.681007084096966</v>
      </c>
      <c r="E73" s="42" t="n">
        <v>5.754309441368888</v>
      </c>
      <c r="F73" s="42" t="n">
        <v>34.43846477590683</v>
      </c>
      <c r="G73" s="73" t="inlineStr">
        <is>
          <t>1.06 / 1.48 / 3.18 / 19.01</t>
        </is>
      </c>
    </row>
    <row r="74">
      <c r="A74" s="17" t="inlineStr">
        <is>
          <t>100B</t>
        </is>
      </c>
      <c r="B74" s="56" t="n">
        <v>2.764740120141925</v>
      </c>
      <c r="C74" s="42" t="n">
        <v>4.452972106010361</v>
      </c>
      <c r="D74" s="42" t="n">
        <v>6.241734336892029</v>
      </c>
      <c r="E74" s="42" t="n">
        <v>13.3967832604187</v>
      </c>
      <c r="F74" s="42" t="n">
        <v>80.17723988000094</v>
      </c>
      <c r="G74" s="73" t="inlineStr">
        <is>
          <t>1.61 / 2.26 / 4.85 / 29.00</t>
        </is>
      </c>
    </row>
    <row r="75">
      <c r="A75" s="17" t="inlineStr">
        <is>
          <t>1T</t>
        </is>
      </c>
      <c r="B75" s="56" t="n">
        <v>4.21849922897088</v>
      </c>
      <c r="C75" s="42" t="n">
        <v>10.36710013195259</v>
      </c>
      <c r="D75" s="42" t="n">
        <v>14.53157202136217</v>
      </c>
      <c r="E75" s="42" t="n">
        <v>31.1894595790005</v>
      </c>
      <c r="F75" s="42" t="n">
        <v>186.6630767836249</v>
      </c>
      <c r="G75" s="73" t="inlineStr">
        <is>
          <t>2.46 / 3.44 / 7.39 / 44.25</t>
        </is>
      </c>
    </row>
    <row r="76">
      <c r="A76" s="17" t="inlineStr">
        <is>
          <t>10T</t>
        </is>
      </c>
      <c r="B76" s="56" t="n">
        <v>6.436675771144228</v>
      </c>
      <c r="C76" s="42" t="n">
        <v>24.13596191201503</v>
      </c>
      <c r="D76" s="42" t="n">
        <v>33.83139589327395</v>
      </c>
      <c r="E76" s="42" t="n">
        <v>72.61313181830963</v>
      </c>
      <c r="F76" s="42" t="n">
        <v>434.576000451976</v>
      </c>
      <c r="G76" s="73"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66" t="inlineStr">
        <is>
          <t>Training curriculum</t>
        </is>
      </c>
      <c r="B80" s="66" t="inlineStr">
        <is>
          <t>Advantage (TF / ours)</t>
        </is>
      </c>
      <c r="C80" s="66" t="inlineStr">
        <is>
          <t>Effective r</t>
        </is>
      </c>
      <c r="D80" s="66" t="inlineStr">
        <is>
          <t>Mix: token share -&gt; transformer cost share</t>
        </is>
      </c>
      <c r="E80" s="66" t="inlineStr">
        <is>
          <t>FY25 cut @ 20% training</t>
        </is>
      </c>
      <c r="F80" s="66" t="inlineStr">
        <is>
          <t>vs serving-only</t>
        </is>
      </c>
      <c r="G80" s="66" t="inlineStr">
        <is>
          <t>Status</t>
        </is>
      </c>
    </row>
    <row r="81">
      <c r="A81" s="17" t="inlineStr">
        <is>
          <t>Legacy short (all training at 2k)</t>
        </is>
      </c>
      <c r="B81" s="76" t="n">
        <v>0.5825609168739004</v>
      </c>
      <c r="C81" s="77" t="n">
        <v>1.716558682594317</v>
      </c>
      <c r="D81" s="24" t="inlineStr">
        <is>
          <t>2k: 100% tok -&gt; 100% cost</t>
        </is>
      </c>
      <c r="E81" s="78" t="n">
        <v>154.8429860104542</v>
      </c>
      <c r="F81" s="79" t="n">
        <v>-11.13717395678219</v>
      </c>
      <c r="G81" s="80" t="inlineStr">
        <is>
          <t>MEASURED (degenerate one-context case)</t>
        </is>
      </c>
    </row>
    <row r="82">
      <c r="A82" s="17" t="inlineStr">
        <is>
          <t>Modern standard (8k bulk + 64k/256k extension)</t>
        </is>
      </c>
      <c r="B82" s="76" t="n">
        <v>2.220667013967386</v>
      </c>
      <c r="C82" s="77" t="n">
        <v>0.4503151502275102</v>
      </c>
      <c r="D82" s="24" t="inlineStr">
        <is>
          <t>8k: 70% tok -&gt; 26% cost  64k: 20% tok -&gt; 27% cost  256k: 10% tok -&gt; 47% cost</t>
        </is>
      </c>
      <c r="E82" s="78" t="n">
        <v>158.8547874640003</v>
      </c>
      <c r="F82" s="79" t="n">
        <v>-7.125372503236122</v>
      </c>
      <c r="G82" s="81" t="inlineStr">
        <is>
          <t>ILLUSTRATIVE ASSUMPTION</t>
        </is>
      </c>
    </row>
    <row r="83">
      <c r="A83" s="17" t="inlineStr">
        <is>
          <t>Long-context heavy (frontier extension phases)</t>
        </is>
      </c>
      <c r="B83" s="76" t="n">
        <v>7.743424712739709</v>
      </c>
      <c r="C83" s="77" t="n">
        <v>0.1291418251093435</v>
      </c>
      <c r="D83" s="24" t="inlineStr">
        <is>
          <t>8k: 40% tok -&gt; 4% cost  64k: 25% tok -&gt; 10% cost  256k: 25% tok -&gt; 34% cost  1024k: 10% tok -&gt; 52% cost</t>
        </is>
      </c>
      <c r="E83" s="78" t="n">
        <v>159.8723512892945</v>
      </c>
      <c r="F83" s="79" t="n">
        <v>-6.107808677941904</v>
      </c>
      <c r="G83" s="81" t="inlineStr">
        <is>
          <t>ILLUSTRATIVE ASSUMPTION</t>
        </is>
      </c>
    </row>
    <row r="84">
      <c r="A84" s="17" t="inlineStr">
        <is>
          <t>Frontier + long-rollout RL</t>
        </is>
      </c>
      <c r="B84" s="76" t="n">
        <v>12.08050561742532</v>
      </c>
      <c r="C84" s="77" t="n">
        <v>0.08277799221893223</v>
      </c>
      <c r="D84" s="24" t="inlineStr">
        <is>
          <t>8k: 30% tok -&gt; 2% cost  64k: 20% tok -&gt; 5% cost  256k: 30% tok -&gt; 26% cost  1024k: 20% tok -&gt; 67% cost</t>
        </is>
      </c>
      <c r="E84" s="78" t="n">
        <v>160.0192444322226</v>
      </c>
      <c r="F84" s="79" t="n">
        <v>-5.960915535013811</v>
      </c>
      <c r="G84" s="81" t="inlineStr">
        <is>
          <t>ILLUSTRATIVE ASSUMPTION</t>
        </is>
      </c>
    </row>
    <row r="86">
      <c r="A86" s="3"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90">
      <c r="A90" s="66" t="inlineStr">
        <is>
          <t>Context (tokens)</t>
        </is>
      </c>
      <c r="B90" s="66" t="inlineStr">
        <is>
          <t>Transformer ms</t>
        </is>
      </c>
      <c r="C90" s="66" t="inlineStr">
        <is>
          <t>bAttention ms</t>
        </is>
      </c>
      <c r="D90" s="66" t="inlineStr">
        <is>
          <t>TF / bAttention</t>
        </is>
      </c>
      <c r="E90" s="66" t="inlineStr"/>
      <c r="F90" s="66" t="inlineStr">
        <is>
          <t>Note</t>
        </is>
      </c>
    </row>
    <row r="91">
      <c r="A91" s="67" t="n">
        <v>2048</v>
      </c>
      <c r="B91" s="39" t="n">
        <v>111.229</v>
      </c>
      <c r="C91" s="36" t="n">
        <v>663.1130000000001</v>
      </c>
      <c r="D91" s="76" t="n">
        <v>0.16773762541226</v>
      </c>
      <c r="F91" s="24" t="inlineStr">
        <is>
          <t>transformer ahead</t>
        </is>
      </c>
    </row>
    <row r="92">
      <c r="A92" s="67" t="n">
        <v>4096</v>
      </c>
      <c r="B92" s="39" t="n">
        <v>125.091</v>
      </c>
      <c r="C92" s="36" t="n">
        <v>662.751</v>
      </c>
      <c r="D92" s="76" t="n">
        <v>0.1887450943114382</v>
      </c>
      <c r="F92" s="24" t="inlineStr">
        <is>
          <t>transformer ahead</t>
        </is>
      </c>
    </row>
    <row r="93">
      <c r="A93" s="67" t="n">
        <v>8192</v>
      </c>
      <c r="B93" s="39" t="n">
        <v>153.085</v>
      </c>
      <c r="C93" s="36" t="n">
        <v>663.327</v>
      </c>
      <c r="D93" s="76" t="n">
        <v>0.2307836104967836</v>
      </c>
      <c r="F93" s="24" t="inlineStr">
        <is>
          <t>transformer ahead</t>
        </is>
      </c>
    </row>
    <row r="94">
      <c r="A94" s="67" t="n">
        <v>16384</v>
      </c>
      <c r="B94" s="39" t="n">
        <v>204.919</v>
      </c>
      <c r="C94" s="36" t="n">
        <v>663.202</v>
      </c>
      <c r="D94" s="76" t="n">
        <v>0.3089842913622094</v>
      </c>
      <c r="F94" s="24" t="inlineStr">
        <is>
          <t>transformer ahead</t>
        </is>
      </c>
    </row>
    <row r="95">
      <c r="A95" s="67" t="n">
        <v>32768</v>
      </c>
      <c r="B95" s="39" t="n">
        <v>309.886</v>
      </c>
      <c r="C95" s="36" t="n">
        <v>662.6180000000001</v>
      </c>
      <c r="D95" s="76" t="n">
        <v>0.4676691547769605</v>
      </c>
      <c r="F95" s="24" t="inlineStr">
        <is>
          <t>transformer ahead</t>
        </is>
      </c>
    </row>
    <row r="96">
      <c r="A96" s="67" t="n">
        <v>65536</v>
      </c>
      <c r="B96" s="39" t="n">
        <v>520.986</v>
      </c>
      <c r="C96" s="36" t="n">
        <v>663.199</v>
      </c>
      <c r="D96" s="76" t="n">
        <v>0.7855651169558459</v>
      </c>
      <c r="F96" s="24" t="inlineStr">
        <is>
          <t>transformer ahead</t>
        </is>
      </c>
    </row>
    <row r="97">
      <c r="A97" s="67" t="n">
        <v>131072</v>
      </c>
      <c r="B97" s="39" t="n">
        <v>969.79</v>
      </c>
      <c r="C97" s="36" t="n">
        <v>753.457</v>
      </c>
      <c r="D97" s="76" t="n">
        <v>1.287120565606265</v>
      </c>
      <c r="F97" s="24" t="inlineStr"/>
    </row>
    <row r="98">
      <c r="A98" s="67" t="n">
        <v>262144</v>
      </c>
      <c r="B98" s="39" t="n">
        <v>1889.616</v>
      </c>
      <c r="C98" s="36" t="n">
        <v>938.175</v>
      </c>
      <c r="D98" s="76" t="n">
        <v>2.014140219042289</v>
      </c>
      <c r="F98" s="24" t="inlineStr"/>
    </row>
    <row r="99">
      <c r="A99" s="67" t="n">
        <v>524288</v>
      </c>
      <c r="B99" s="39" t="n">
        <v>3718.717</v>
      </c>
      <c r="C99" s="36" t="n">
        <v>1308.837</v>
      </c>
      <c r="D99" s="76" t="n">
        <v>2.841237678947035</v>
      </c>
      <c r="F99" s="24" t="inlineStr"/>
    </row>
    <row r="101">
      <c r="A101" s="34" t="inlineStr">
        <is>
          <t>Assumptions — one row each (MEASURED / PROJECTION / ASSUMPTION)</t>
        </is>
      </c>
      <c r="B101" s="35" t="n"/>
      <c r="C101" s="35" t="n"/>
      <c r="D101" s="35" t="n"/>
      <c r="E101" s="35" t="n"/>
      <c r="F101" s="35" t="n"/>
    </row>
    <row r="102">
      <c r="A102" s="66" t="inlineStr">
        <is>
          <t>Assumption</t>
        </is>
      </c>
      <c r="B102" s="66" t="inlineStr">
        <is>
          <t>Value</t>
        </is>
      </c>
      <c r="C102" s="66" t="inlineStr"/>
      <c r="D102" s="66" t="inlineStr"/>
      <c r="E102" s="66" t="inlineStr">
        <is>
          <t>Status</t>
        </is>
      </c>
      <c r="F102" s="66" t="inlineStr">
        <is>
          <t>Source</t>
        </is>
      </c>
    </row>
    <row r="103">
      <c r="A103" s="17" t="inlineStr">
        <is>
          <t>Compute lever (Today, 2026-09-01 re-base)</t>
        </is>
      </c>
      <c r="B103" s="24" t="inlineStr">
        <is>
          <t>x793 = full-workload serving lever (decode 2.5 ms/token x 64 streams ESTIMATE, prefill at the BANKED x3.94) x the x4.22 FIT-DERIVED equal-quality ratio at trillion scale; Ceiling = same at the full x7.03 maturity factor (x816)</t>
        </is>
      </c>
      <c r="E103" s="81" t="inlineStr">
        <is>
          <t>ESTIMATE x PROJECTION</t>
        </is>
      </c>
      <c r="F103" s="24" t="inlineStr">
        <is>
          <t>the model; aggregate-decode receipt PENDING (internal measurement archive)</t>
        </is>
      </c>
    </row>
    <row r="104">
      <c r="A104" s="17" t="inlineStr">
        <is>
          <t>Equal-quality parameter matching</t>
        </is>
      </c>
      <c r="B104" s="24"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81" t="inlineStr">
        <is>
          <t>PROJECTION</t>
        </is>
      </c>
      <c r="F104" s="24" t="inlineStr">
        <is>
          <t>internal measurement archive param_matching; fits over the sealed rope-convention ladder</t>
        </is>
      </c>
    </row>
    <row r="105">
      <c r="A105" s="17" t="inlineStr">
        <is>
          <t>Single-GPU training step (AGAINST us)</t>
        </is>
      </c>
      <c r="B105" s="24"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80" t="inlineStr">
        <is>
          <t>MEASURED</t>
        </is>
      </c>
      <c r="F105" s="24" t="inlineStr">
        <is>
          <t>2026-08-24 GH200 megakernel measurement; prior: internal measurement archive rows[fp16]</t>
        </is>
      </c>
    </row>
    <row r="106">
      <c r="A106" s="17" t="inlineStr">
        <is>
          <t>Training PEAK MEMORY (AGAINST us)</t>
        </is>
      </c>
      <c r="B106" s="24"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80" t="inlineStr">
        <is>
          <t>MEASURED</t>
        </is>
      </c>
      <c r="F106" s="24" t="inlineStr">
        <is>
          <t>2026-08-24 GH200 megakernel measurement</t>
        </is>
      </c>
    </row>
    <row r="107">
      <c r="A107" s="17" t="inlineStr">
        <is>
          <t>Kernel program (TARGET, not a result)</t>
        </is>
      </c>
      <c r="B107" s="24"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81" t="inlineStr">
        <is>
          <t>TARGET</t>
        </is>
      </c>
      <c r="F107" s="24" t="inlineStr">
        <is>
          <t>kernel-campaign program plan, 2026-08-24 — no receipt behind the target half</t>
        </is>
      </c>
    </row>
    <row r="108">
      <c r="A108" s="17" t="inlineStr">
        <is>
          <t>Context scaling of the training gap</t>
        </is>
      </c>
      <c r="B108" s="24"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81" t="inlineStr">
        <is>
          <t>MEASURED (2 ratio points) + PROJECTION</t>
        </is>
      </c>
      <c r="F108" s="24" t="inlineStr">
        <is>
          <t>2026-08-24 GH200 megakernel measurement; 2k cell re-based 2026-08-25</t>
        </is>
      </c>
    </row>
    <row r="109">
      <c r="A109" s="17" t="inlineStr">
        <is>
          <t>Training CONTEXT MIX (reads the other way)</t>
        </is>
      </c>
      <c r="B109" s="24"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81" t="inlineStr">
        <is>
          <t>MEASURED r(T) + ILLUSTRATIVE mix</t>
        </is>
      </c>
      <c r="F109" s="24" t="inlineStr">
        <is>
          <t>the model, the model, the model</t>
        </is>
      </c>
    </row>
    <row r="110">
      <c r="A110" s="17" t="inlineStr">
        <is>
          <t>Long-context training memory (EXCLUDED, runs our way)</t>
        </is>
      </c>
      <c r="B110" s="24"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81" t="inlineStr">
        <is>
          <t>DIRECTIONAL — measured components, not a costed lever</t>
        </is>
      </c>
      <c r="F110" s="24" t="inlineStr">
        <is>
          <t>the model mem_ratio_2k/8k; the model</t>
        </is>
      </c>
    </row>
    <row r="111">
      <c r="A111" s="17" t="inlineStr">
        <is>
          <t>$/GPU-hour</t>
        </is>
      </c>
      <c r="B111" s="24" t="inlineStr">
        <is>
          <t>$2.50 (H100 rent, neocloud/committed mid; ladder 2.00-3.50)</t>
        </is>
      </c>
      <c r="E111" s="81" t="inlineStr">
        <is>
          <t>ASSUMPTION</t>
        </is>
      </c>
      <c r="F111" s="24" t="inlineStr">
        <is>
          <t>this file's CostLadder row — unchanged rate basis</t>
        </is>
      </c>
    </row>
    <row r="112">
      <c r="A112" s="17" t="inlineStr">
        <is>
          <t>Utilization</t>
        </is>
      </c>
      <c r="B112" s="24" t="inlineStr">
        <is>
          <t>85%</t>
        </is>
      </c>
      <c r="E112" s="81" t="inlineStr">
        <is>
          <t>ASSUMPTION</t>
        </is>
      </c>
      <c r="F112" s="24" t="inlineStr">
        <is>
          <t>same value as the ladder's owned-TCO cross-check</t>
        </is>
      </c>
    </row>
    <row r="113">
      <c r="A113" s="17" t="inlineStr">
        <is>
          <t>Context-length mix</t>
        </is>
      </c>
      <c r="B113" s="24" t="inlineStr">
        <is>
          <t>headline quoted at 262k (a measured decode cell); table sweeps 4k-1M. The decode lever crosses 1 at ~29,800 tokens and BELOW that the transformer serves more tokens per GPU-second than we do — stated on every surface</t>
        </is>
      </c>
      <c r="E113" s="81" t="inlineStr">
        <is>
          <t>ASSUMPTION</t>
        </is>
      </c>
      <c r="F113" s="24" t="inlineStr">
        <is>
          <t>serving_cost_curve, decode_throughput_ratio</t>
        </is>
      </c>
    </row>
    <row r="114">
      <c r="A114" s="17" t="inlineStr">
        <is>
          <t>Decode lever is MEMORY-CEILING, not latency (READ FIRST)</t>
        </is>
      </c>
      <c r="B114" s="24"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80" t="inlineStr">
        <is>
          <t>MEASURED</t>
        </is>
      </c>
      <c r="F114" s="24" t="inlineStr">
        <is>
          <t>internal measurement archive; the model</t>
        </is>
      </c>
    </row>
    <row r="115">
      <c r="A115" s="17" t="inlineStr">
        <is>
          <t>Transformer-stack maturity</t>
        </is>
      </c>
      <c r="B115" s="24"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81" t="inlineStr">
        <is>
          <t>ASSUMPTION</t>
        </is>
      </c>
      <c r="F115" s="24" t="inlineStr">
        <is>
          <t>the model</t>
        </is>
      </c>
    </row>
    <row r="116">
      <c r="A116" s="17" t="inlineStr">
        <is>
          <t>bAttention serving throughput</t>
        </is>
      </c>
      <c r="B116" s="24"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80" t="inlineStr">
        <is>
          <t>MEASURED</t>
        </is>
      </c>
      <c r="F116" s="24" t="inlineStr">
        <is>
          <t>internal measurement archive rows[bAttention, 64 streams]</t>
        </is>
      </c>
    </row>
    <row r="117">
      <c r="A117" s="17" t="inlineStr">
        <is>
          <t>bAttention per-stream state</t>
        </is>
      </c>
      <c r="B117" s="24" t="inlineStr">
        <is>
          <t>25.4 MB/stream, the FULL internal cell (h + M memory), 24.2 MiB measured, context-flat. The 0.15 MB figure previously quoted was an h-carry-only proxy with no M memory and is retired as a headline</t>
        </is>
      </c>
      <c r="E117" s="80" t="inlineStr">
        <is>
          <t>MEASURED</t>
        </is>
      </c>
      <c r="F117" s="24" t="inlineStr">
        <is>
          <t>internal measurement archive state_bytes_per_stream</t>
        </is>
      </c>
    </row>
    <row r="118">
      <c r="A118" s="17" t="inlineStr">
        <is>
          <t>Transformer KV wall</t>
        </is>
      </c>
      <c r="B118" s="24"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80" t="inlineStr">
        <is>
          <t>MEASURED</t>
        </is>
      </c>
      <c r="F118" s="24" t="inlineStr">
        <is>
          <t>internal measurement archive rows[transformer]</t>
        </is>
      </c>
    </row>
    <row r="119">
      <c r="A119" s="17" t="inlineStr">
        <is>
          <t>Training throughput at 8 GPUs</t>
        </is>
      </c>
      <c r="B119" s="24" t="inlineStr">
        <is>
          <t>x5.15 (bAttention, fwd+bwd) vs x3.70 (transformer Ulysses best, forward-only) at matched 16-in-flight load -&gt; x1.39; x6.27 at 256 in flight -&gt; x1.70</t>
        </is>
      </c>
      <c r="E119" s="80" t="inlineStr">
        <is>
          <t>MEASURED</t>
        </is>
      </c>
      <c r="F119" s="24" t="inlineStr">
        <is>
          <t>internal measurement archive matched_load_curve, scaling_1to8_best</t>
        </is>
      </c>
    </row>
    <row r="120">
      <c r="A120" s="17" t="inlineStr">
        <is>
          <t>Memory walls (component scope)</t>
        </is>
      </c>
      <c r="B120" s="24" t="inlineStr">
        <is>
          <t>64k-token sequence: 30.9 GB (fits 1 GPU) vs OOM at 78.4 GB attempted; pipeline stage 9.05 GB flat vs GPipe 43.3 GB</t>
        </is>
      </c>
      <c r="E120" s="80" t="inlineStr">
        <is>
          <t>MEASURED</t>
        </is>
      </c>
      <c r="F120" s="24" t="inlineStr">
        <is>
          <t>internal measurement archive pipeline_feasibility, pipeline_memory_asymmetry</t>
        </is>
      </c>
    </row>
    <row r="121">
      <c r="A121" s="17" t="inlineStr">
        <is>
          <t>Compute lever (flop_factor)</t>
        </is>
      </c>
      <c r="B121" s="24"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80" t="inlineStr">
        <is>
          <t>MEASURED</t>
        </is>
      </c>
      <c r="F121" s="24" t="inlineStr">
        <is>
          <t>matched_d{512,1024,2048}internal measurement archive (2026-07-21)</t>
        </is>
      </c>
    </row>
    <row r="122">
      <c r="A122" s="17" t="inlineStr">
        <is>
          <t>Compute, fp32 lane (scope reference)</t>
        </is>
      </c>
      <c r="B122" s="24"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81" t="inlineStr">
        <is>
          <t>LABEL</t>
        </is>
      </c>
      <c r="F122" s="24" t="inlineStr">
        <is>
          <t>internal measurement archive sdpa_fp32_backend_probe + last_route_attestation</t>
        </is>
      </c>
    </row>
    <row r="123">
      <c r="A123" s="17" t="inlineStr">
        <is>
          <t>16-bit IO (training)</t>
        </is>
      </c>
      <c r="B123" s="24" t="inlineStr">
        <is>
          <t>same-arch GH200 gate at d1536: fp16 x1.185 step time and -17.5% peak memory, bf16 x1.171 and -20.6%; quality deltas +0.001 to +0.004 from the gate's smaller vehicle. Reported on its own; not an input to the compute lever</t>
        </is>
      </c>
      <c r="E123" s="80" t="inlineStr">
        <is>
          <t>MEASURED</t>
        </is>
      </c>
      <c r="F123" s="24" t="inlineStr">
        <is>
          <t>internal measurement archive (2026-08-09)</t>
        </is>
      </c>
    </row>
    <row r="124">
      <c r="A124" s="17" t="inlineStr">
        <is>
          <t>Quality parity at 70B</t>
        </is>
      </c>
      <c r="B124" s="24" t="inlineStr">
        <is>
          <t>transformer needs x4.1 params [2.2-7.7] or x1.7 tokens [1.33-2.10, beta=0.28 assumption]; crossover N* ~321M = the top measured rung</t>
        </is>
      </c>
      <c r="E124" s="81" t="inlineStr">
        <is>
          <t>PROJECTION</t>
        </is>
      </c>
      <c r="F124" s="24" t="inlineStr">
        <is>
          <t>internal measurement archive quality_fit.ref_70B, parity_cost</t>
        </is>
      </c>
    </row>
    <row r="125">
      <c r="A125" s="17" t="inlineStr">
        <is>
          <t>Scope</t>
        </is>
      </c>
      <c r="B125" s="24" t="inlineStr">
        <is>
          <t>systems numbers are component-scope (bAttention d1536 fwd+bwd h-internal dynamics sub-block vs transformer d2048 forward-only layer); every speedup is vs the family's OWN 1-GPU baseline</t>
        </is>
      </c>
      <c r="E125" s="81" t="inlineStr">
        <is>
          <t>LABEL</t>
        </is>
      </c>
      <c r="F125" s="24" t="inlineStr">
        <is>
          <t>internal measurement archive scope_reconciliation; deck README</t>
        </is>
      </c>
    </row>
  </sheetData>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34" t="inlineStr">
        <is>
          <t>EVIDENCE — cost split, accelerator share, own-silicon TCO, filing data</t>
        </is>
      </c>
      <c r="B1" s="35" t="n"/>
      <c r="C1" s="35" t="n"/>
      <c r="D1" s="35" t="n"/>
    </row>
    <row r="3">
      <c r="A3" s="7"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7"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7"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7"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7" t="inlineStr">
        <is>
          <t>Cost-weighted reduction vs memory share</t>
        </is>
      </c>
      <c r="B26" t="inlineStr">
        <is>
          <t>reduction (x)</t>
        </is>
      </c>
      <c r="C26" t="inlineStr"/>
      <c r="D26" s="3" t="inlineStr">
        <is>
          <t>live: =1/(w/memfac+(1-w)/flopfac)</t>
        </is>
      </c>
    </row>
    <row r="27">
      <c r="A27" t="inlineStr">
        <is>
          <t>memory share = 45%</t>
        </is>
      </c>
      <c r="B27" s="33" t="n">
        <v>0.45</v>
      </c>
      <c r="C27" s="65">
        <f>1/(B27/Inputs!$B$2+(1-B27)/Inputs!$B$3)</f>
        <v/>
      </c>
      <c r="D27" t="inlineStr">
        <is>
          <t>memory term dominates -&gt; pinned near the 100x memory lever</t>
        </is>
      </c>
    </row>
    <row r="28">
      <c r="A28" t="inlineStr">
        <is>
          <t>memory share = 50%</t>
        </is>
      </c>
      <c r="B28" s="33" t="n">
        <v>0.5</v>
      </c>
      <c r="C28" s="65">
        <f>1/(B28/Inputs!$B$2+(1-B28)/Inputs!$B$3)</f>
        <v/>
      </c>
      <c r="D28" t="inlineStr">
        <is>
          <t>memory term dominates -&gt; pinned near the 100x memory lever</t>
        </is>
      </c>
    </row>
    <row r="29">
      <c r="A29" t="inlineStr">
        <is>
          <t>memory share = 60%</t>
        </is>
      </c>
      <c r="B29" s="33" t="n">
        <v>0.6</v>
      </c>
      <c r="C29" s="65">
        <f>1/(B29/Inputs!$B$2+(1-B29)/Inputs!$B$3)</f>
        <v/>
      </c>
      <c r="D29" t="inlineStr">
        <is>
          <t>memory term dominates -&gt; pinned near the 100x memory lever</t>
        </is>
      </c>
    </row>
    <row r="30">
      <c r="A30" t="inlineStr">
        <is>
          <t>memory share = 70%</t>
        </is>
      </c>
      <c r="B30" s="33" t="n">
        <v>0.7</v>
      </c>
      <c r="C30" s="65">
        <f>1/(B30/Inputs!$B$2+(1-B30)/Inputs!$B$3)</f>
        <v/>
      </c>
      <c r="D30" t="inlineStr">
        <is>
          <t>memory term dominates -&gt; pinned near the 100x memory lever</t>
        </is>
      </c>
    </row>
    <row r="31">
      <c r="A31" t="inlineStr">
        <is>
          <t>memory share = 82%</t>
        </is>
      </c>
      <c r="B31" s="33" t="n">
        <v>0.82</v>
      </c>
      <c r="C31" s="65">
        <f>1/(B31/Inputs!$B$2+(1-B31)/Inputs!$B$3)</f>
        <v/>
      </c>
      <c r="D31" t="inlineStr">
        <is>
          <t>memory term dominates -&gt; pinned near the 100x memory lever</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20" t="inlineStr">
        <is>
          <t>METHODOLOGY &amp; SOURCES</t>
        </is>
      </c>
    </row>
    <row r="2">
      <c r="A2" s="3" t="inlineStr"/>
    </row>
    <row r="3">
      <c r="A3" s="3" t="inlineStr">
        <is>
          <t>Engine: GPU cost ~60% memory / ~40% compute. RE-BASED 2026-09-01: TODAY (default): memory x100 + FLOPs x793 (full-workload serving lever — decode 2.5 ms/token x 64 streams ESTIMATE, prefill at the banked x3.936 — x equal-quality ratio x4.22 at 1T) -&gt; ~x154 cost-weighted (Inputs B20). CEILING: FLOPs x816 (prefill at the full x7.03 maturity factor = x3.936 measured x x1.786 target) -&gt; ~x154.</t>
        </is>
      </c>
    </row>
    <row r="4">
      <c r="A4" s="3" t="inlineStr">
        <is>
          <t xml:space="preserve">  Floored by the least-reduced part — at these levers that is MEMORY (/100), so the two scenarios land within rounding of each other. The pre-campaign family (x9.24 -&gt; ~20x / x28.2 -&gt; ~50x) is RETIRED 2026-09-01: measured on kernels that no longer exist.</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20" t="inlineStr">
        <is>
          <t>KEY RESULTS (defaults)</t>
        </is>
      </c>
    </row>
    <row r="17">
      <c r="A17" s="3" t="inlineStr">
        <is>
          <t>- Cost-weighted reduction ~x154 TODAY and ~x154 at the CEILING — memory-floored at /100; the levers differ ~3% but the reduction ~0.3%.</t>
        </is>
      </c>
    </row>
    <row r="18">
      <c r="A18" s="3" t="inlineStr">
        <is>
          <t>- Net AI FY25: 6 named firms spend ~$375B (capex+opex) vs ~$79B AI revenue = ~ -$295B/yr cash burn.</t>
        </is>
      </c>
    </row>
    <row r="19">
      <c r="A19" s="3" t="inlineStr">
        <is>
          <t>- With our architecture: spend cut ~$166B -&gt; burn shrinks to ~ -$129B/yr (~44% of AI spend cut).</t>
        </is>
      </c>
    </row>
    <row r="20">
      <c r="A20" s="3" t="inlineStr">
        <is>
          <t>- Spend-cut value (named floor, 6% discount rate): FY25 ~$166B/yr (~$2.8T capitalized); FY26 r/r ~$382B/yr (~$6.4T). Ceiling: within rounding of Today (the cut saturates).</t>
        </is>
      </c>
    </row>
    <row r="21">
      <c r="A21" s="3" t="inlineStr">
        <is>
          <t>- GLOBAL estimate (named ~80% of world AI capex): FY25 ~$3.5T, FY26 ~$8.0T capitalized. Clearly an estimate.</t>
        </is>
      </c>
    </row>
    <row r="22">
      <c r="A22" s="3" t="inlineStr"/>
    </row>
    <row r="23">
      <c r="A23" s="20"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~793x ~ 79,000x) is NOT physical: cost is additive (Amdahl), not multiplicative.</t>
        </is>
      </c>
    </row>
    <row r="31">
      <c r="A31" s="3" t="inlineStr">
        <is>
          <t>- JEVONS: savings reinvested into more AI, not budget cuts. Capitalization is a simple perpetuity.</t>
        </is>
      </c>
    </row>
    <row r="32">
      <c r="A32" s="3" t="inlineStr"/>
    </row>
    <row r="33">
      <c r="A33" s="20"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2026-09-28T23:26:24Z</dcterms:created>
  <dcterms:modified xsi:type="dcterms:W3CDTF">2026-09-28T23:26:25Z</dcterms:modified>
</cp:coreProperties>
</file>