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Value Bridge" sheetId="2" state="visible" r:id="rId2"/>
    <sheet name="Levers" sheetId="3" state="visible" r:id="rId3"/>
    <sheet name="Microsoft" sheetId="4" state="visible" r:id="rId4"/>
    <sheet name="Alphabet" sheetId="5" state="visible" r:id="rId5"/>
    <sheet name="Amazon" sheetId="6" state="visible" r:id="rId6"/>
    <sheet name="Meta" sheetId="7" state="visible" r:id="rId7"/>
    <sheet name="Oracle" sheetId="8" state="visible" r:id="rId8"/>
    <sheet name="SpaceX" sheetId="9" state="visible" r:id="rId9"/>
    <sheet name="Totals" sheetId="10" state="visible" r:id="rId10"/>
    <sheet name="Inputs" sheetId="11" state="visible" r:id="rId11"/>
    <sheet name="Sensitivity" sheetId="12" state="visible" r:id="rId12"/>
    <sheet name="CostLadder" sheetId="13" state="visible" r:id="rId13"/>
    <sheet name="ServingTraining" sheetId="14" state="visible" r:id="rId14"/>
    <sheet name="Evidence" sheetId="15" state="visible" r:id="rId15"/>
    <sheet name="Methodology" sheetId="16" state="visible" r:id="rId16"/>
  </sheets>
  <definedNames>
    <definedName name="Scenario">Levers!$C$4</definedName>
    <definedName name="SmallerModel">Levers!$C$7</definedName>
    <definedName name="FewerTokens">Levers!$C$8</definedName>
    <definedName name="TrainSpeed">Levers!$C$9</definedName>
    <definedName name="MemoryLever">Levers!$C$10</definedName>
    <definedName name="ServeThroughput">Levers!$C$11</definedName>
    <definedName name="TrainLever">Levers!$C$14</definedName>
    <definedName name="ServeComputeLever">Levers!$C$16</definedName>
    <definedName name="ServeGPULever">Levers!$C$17</definedName>
  </definedNames>
  <calcPr calcId="124519" fullCalcOnLoad="1"/>
</workbook>
</file>

<file path=xl/styles.xml><?xml version="1.0" encoding="utf-8"?>
<styleSheet xmlns="http://schemas.openxmlformats.org/spreadsheetml/2006/main">
  <numFmts count="18">
    <numFmt numFmtId="164" formatCode="0.0"/>
    <numFmt numFmtId="165" formatCode="0.0%"/>
    <numFmt numFmtId="166" formatCode="#,##0.0"/>
    <numFmt numFmtId="167" formatCode="0.000000"/>
    <numFmt numFmtId="168" formatCode="0.000"/>
    <numFmt numFmtId="169" formatCode="$0.0000"/>
    <numFmt numFmtId="170" formatCode="$0.00"/>
    <numFmt numFmtId="171" formatCode="0.0×"/>
    <numFmt numFmtId="172" formatCode="0.00×"/>
    <numFmt numFmtId="173" formatCode="0.000×"/>
    <numFmt numFmtId="174" formatCode="$#,##0.0"/>
    <numFmt numFmtId="175" formatCode="+$#,##0.00;-$#,##0.00"/>
    <numFmt numFmtId="176" formatCode="0.0&quot;×&quot;"/>
    <numFmt numFmtId="177" formatCode="&quot;÷&quot;#,##0"/>
    <numFmt numFmtId="178" formatCode="&quot;$&quot;#,##0&quot;B&quot;;-&quot;$&quot;#,##0&quot;B&quot;"/>
    <numFmt numFmtId="179" formatCode="&quot;$&quot;#,##0.0&quot;B&quot;"/>
    <numFmt numFmtId="180" formatCode="&quot;$&quot;#,##0.0&quot;T&quot;;-&quot;$&quot;#,##0.0&quot;T&quot;"/>
    <numFmt numFmtId="181" formatCode="+&quot;$&quot;#,##0&quot;B&quot;;-&quot;$&quot;#,##0&quot;B&quot;;&quot;—&quot;"/>
  </numFmts>
  <fonts count="6">
    <font>
      <name val="Calibri"/>
      <family val="2"/>
      <color theme="1"/>
      <sz val="11"/>
      <scheme val="minor"/>
    </font>
    <font>
      <b val="1"/>
      <color rgb="00FFFFFF"/>
    </font>
    <font>
      <b val="1"/>
    </font>
    <font>
      <color rgb="000563C1"/>
      <u val="single"/>
    </font>
    <font>
      <b val="1"/>
      <color rgb="00FFFFFF"/>
      <sz val="16"/>
    </font>
    <font>
      <b val="1"/>
      <sz val="13"/>
    </font>
  </fonts>
  <fills count="9">
    <fill>
      <patternFill/>
    </fill>
    <fill>
      <patternFill patternType="gray125"/>
    </fill>
    <fill>
      <patternFill patternType="solid">
        <fgColor rgb="001F4E78"/>
      </patternFill>
    </fill>
    <fill>
      <patternFill patternType="solid">
        <fgColor rgb="00FFF2CC"/>
      </patternFill>
    </fill>
    <fill>
      <patternFill patternType="solid">
        <fgColor rgb="00E2EFDA"/>
      </patternFill>
    </fill>
    <fill>
      <patternFill patternType="solid">
        <fgColor rgb="00DDEBF7"/>
      </patternFill>
    </fill>
    <fill>
      <patternFill patternType="solid">
        <fgColor rgb="00BDD7EE"/>
      </patternFill>
    </fill>
    <fill>
      <patternFill patternType="solid">
        <fgColor rgb="000B2545"/>
      </patternFill>
    </fill>
    <fill>
      <patternFill patternType="solid">
        <fgColor rgb="00FCE4D6"/>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82">
    <xf numFmtId="0" fontId="0" fillId="0" borderId="0" pivotButton="0" quotePrefix="0" xfId="0"/>
    <xf numFmtId="0" fontId="4" fillId="7" borderId="0" applyAlignment="1" pivotButton="0" quotePrefix="0" xfId="0">
      <alignment vertical="center"/>
    </xf>
    <xf numFmtId="0" fontId="0" fillId="7" borderId="0" pivotButton="0" quotePrefix="0" xfId="0"/>
    <xf numFmtId="0" fontId="0" fillId="0" borderId="0" applyAlignment="1" pivotButton="0" quotePrefix="0" xfId="0">
      <alignment vertical="top" wrapText="1"/>
    </xf>
    <xf numFmtId="0" fontId="2" fillId="6" borderId="0" pivotButton="0" quotePrefix="0" xfId="0"/>
    <xf numFmtId="0" fontId="0" fillId="6" borderId="0" pivotButton="0" quotePrefix="0" xfId="0"/>
    <xf numFmtId="178" fontId="0" fillId="5" borderId="1" pivotButton="0" quotePrefix="0" xfId="0"/>
    <xf numFmtId="0" fontId="2" fillId="0" borderId="0" pivotButton="0" quotePrefix="0" xfId="0"/>
    <xf numFmtId="178" fontId="5" fillId="8" borderId="1" pivotButton="0" quotePrefix="0" xfId="0"/>
    <xf numFmtId="9" fontId="5" fillId="8" borderId="1" pivotButton="0" quotePrefix="0" xfId="0"/>
    <xf numFmtId="180" fontId="0" fillId="5" borderId="1" pivotButton="0" quotePrefix="0" xfId="0"/>
    <xf numFmtId="0" fontId="2" fillId="0" borderId="1" pivotButton="0" quotePrefix="0" xfId="0"/>
    <xf numFmtId="0" fontId="0" fillId="0" borderId="4" pivotButton="0" quotePrefix="0" xfId="0"/>
    <xf numFmtId="0" fontId="0" fillId="0" borderId="5" pivotButton="0" quotePrefix="0" xfId="0"/>
    <xf numFmtId="9" fontId="0" fillId="5" borderId="1" pivotButton="0" quotePrefix="0" xfId="0"/>
    <xf numFmtId="178" fontId="2" fillId="8" borderId="1" pivotButton="0" quotePrefix="0" xfId="0"/>
    <xf numFmtId="0" fontId="2" fillId="6" borderId="1" applyAlignment="1" pivotButton="0" quotePrefix="0" xfId="0">
      <alignment vertical="top" wrapText="1"/>
    </xf>
    <xf numFmtId="0" fontId="0" fillId="0" borderId="1" pivotButton="0" quotePrefix="0" xfId="0"/>
    <xf numFmtId="178" fontId="2" fillId="5" borderId="1" pivotButton="0" quotePrefix="0" xfId="0"/>
    <xf numFmtId="9" fontId="2" fillId="5" borderId="1" pivotButton="0" quotePrefix="0" xfId="0"/>
    <xf numFmtId="0" fontId="2" fillId="0" borderId="0" applyAlignment="1" pivotButton="0" quotePrefix="0" xfId="0">
      <alignment vertical="top" wrapText="1"/>
    </xf>
    <xf numFmtId="176" fontId="0" fillId="5" borderId="1" pivotButton="0" quotePrefix="0" xfId="0"/>
    <xf numFmtId="176" fontId="2" fillId="5" borderId="1" pivotButton="0" quotePrefix="0" xfId="0"/>
    <xf numFmtId="177" fontId="0" fillId="5" borderId="1" pivotButton="0" quotePrefix="0" xfId="0"/>
    <xf numFmtId="0" fontId="0" fillId="0" borderId="1" applyAlignment="1" pivotButton="0" quotePrefix="0" xfId="0">
      <alignment vertical="top" wrapText="1"/>
    </xf>
    <xf numFmtId="165" fontId="0" fillId="5" borderId="1" pivotButton="0" quotePrefix="0" xfId="0"/>
    <xf numFmtId="181" fontId="0" fillId="5" borderId="1" pivotButton="0" quotePrefix="0" xfId="0"/>
    <xf numFmtId="0" fontId="2" fillId="0" borderId="1" applyAlignment="1" pivotButton="0" quotePrefix="0" xfId="0">
      <alignment vertical="top" wrapText="1"/>
    </xf>
    <xf numFmtId="179" fontId="0" fillId="5" borderId="1" pivotButton="0" quotePrefix="0" xfId="0"/>
    <xf numFmtId="179" fontId="2" fillId="5" borderId="1" pivotButton="0" quotePrefix="0" xfId="0"/>
    <xf numFmtId="0" fontId="2" fillId="3" borderId="1" pivotButton="0" quotePrefix="0" xfId="0"/>
    <xf numFmtId="176" fontId="0" fillId="3" borderId="1" pivotButton="0" quotePrefix="0" xfId="0"/>
    <xf numFmtId="177" fontId="2" fillId="5" borderId="1" pivotButton="0" quotePrefix="0" xfId="0"/>
    <xf numFmtId="9" fontId="0" fillId="3" borderId="1" pivotButton="0" quotePrefix="0" xfId="0"/>
    <xf numFmtId="0" fontId="1" fillId="2" borderId="0" pivotButton="0" quotePrefix="0" xfId="0"/>
    <xf numFmtId="0" fontId="0" fillId="2" borderId="0" pivotButton="0" quotePrefix="0" xfId="0"/>
    <xf numFmtId="166" fontId="0" fillId="4" borderId="1" pivotButton="0" quotePrefix="0" xfId="0"/>
    <xf numFmtId="166" fontId="0" fillId="3" borderId="1" pivotButton="0" quotePrefix="0" xfId="0"/>
    <xf numFmtId="3" fontId="0" fillId="4" borderId="1" pivotButton="0" quotePrefix="0" xfId="0"/>
    <xf numFmtId="166" fontId="0" fillId="5" borderId="1" pivotButton="0" quotePrefix="0" xfId="0"/>
    <xf numFmtId="166" fontId="2" fillId="5" borderId="1" pivotButton="0" quotePrefix="0" xfId="0"/>
    <xf numFmtId="3" fontId="0" fillId="5" borderId="1" pivotButton="0" quotePrefix="0" xfId="0"/>
    <xf numFmtId="2" fontId="0" fillId="5" borderId="1" pivotButton="0" quotePrefix="0" xfId="0"/>
    <xf numFmtId="4" fontId="0" fillId="5" borderId="1" pivotButton="0" quotePrefix="0" xfId="0"/>
    <xf numFmtId="3" fontId="2" fillId="5" borderId="1" pivotButton="0" quotePrefix="0" xfId="0"/>
    <xf numFmtId="0" fontId="3" fillId="0" borderId="0" pivotButton="0" quotePrefix="0" xfId="0"/>
    <xf numFmtId="3" fontId="2" fillId="6" borderId="1" pivotButton="0" quotePrefix="0" xfId="0"/>
    <xf numFmtId="9" fontId="2" fillId="6" borderId="1" pivotButton="0" quotePrefix="0" xfId="0"/>
    <xf numFmtId="3" fontId="0" fillId="6" borderId="1" pivotButton="0" quotePrefix="0" xfId="0"/>
    <xf numFmtId="9" fontId="0" fillId="6" borderId="1" pivotButton="0" quotePrefix="0" xfId="0"/>
    <xf numFmtId="164" fontId="2" fillId="5" borderId="1" pivotButton="0" quotePrefix="0" xfId="0"/>
    <xf numFmtId="164" fontId="0" fillId="3" borderId="1" pivotButton="0" quotePrefix="0" xfId="0"/>
    <xf numFmtId="165" fontId="0" fillId="3" borderId="1" pivotButton="0" quotePrefix="0" xfId="0"/>
    <xf numFmtId="3" fontId="0" fillId="3" borderId="1" pivotButton="0" quotePrefix="0" xfId="0"/>
    <xf numFmtId="164" fontId="0" fillId="4" borderId="1" pivotButton="0" quotePrefix="0" xfId="0"/>
    <xf numFmtId="10" fontId="0" fillId="5" borderId="1" pivotButton="0" quotePrefix="0" xfId="0"/>
    <xf numFmtId="2" fontId="0" fillId="3" borderId="1" pivotButton="0" quotePrefix="0" xfId="0"/>
    <xf numFmtId="2" fontId="2" fillId="5" borderId="1" pivotButton="0" quotePrefix="0" xfId="0"/>
    <xf numFmtId="2" fontId="0" fillId="4" borderId="1" pivotButton="0" quotePrefix="0" xfId="0"/>
    <xf numFmtId="167" fontId="0" fillId="4" borderId="1" pivotButton="0" quotePrefix="0" xfId="0"/>
    <xf numFmtId="1" fontId="0" fillId="3" borderId="1" pivotButton="0" quotePrefix="0" xfId="0"/>
    <xf numFmtId="168" fontId="0" fillId="4" borderId="1" pivotButton="0" quotePrefix="0" xfId="0"/>
    <xf numFmtId="168" fontId="0" fillId="5" borderId="1" pivotButton="0" quotePrefix="0" xfId="0"/>
    <xf numFmtId="1" fontId="0" fillId="5" borderId="1" pivotButton="0" quotePrefix="0" xfId="0"/>
    <xf numFmtId="167" fontId="0" fillId="5" borderId="1" pivotButton="0" quotePrefix="0" xfId="0"/>
    <xf numFmtId="164" fontId="0" fillId="5" borderId="1" pivotButton="0" quotePrefix="0" xfId="0"/>
    <xf numFmtId="0" fontId="2" fillId="6" borderId="1" pivotButton="0" quotePrefix="0" xfId="0"/>
    <xf numFmtId="3" fontId="0" fillId="0" borderId="1" pivotButton="0" quotePrefix="0" xfId="0"/>
    <xf numFmtId="169" fontId="0" fillId="4" borderId="1" pivotButton="0" quotePrefix="0" xfId="0"/>
    <xf numFmtId="170" fontId="0" fillId="5" borderId="1" pivotButton="0" quotePrefix="0" xfId="0"/>
    <xf numFmtId="171" fontId="0" fillId="5" borderId="1" pivotButton="0" quotePrefix="0" xfId="0"/>
    <xf numFmtId="169" fontId="0" fillId="3" borderId="1" pivotButton="0" quotePrefix="0" xfId="0"/>
    <xf numFmtId="0" fontId="0" fillId="4" borderId="1" applyAlignment="1" pivotButton="0" quotePrefix="0" xfId="0">
      <alignment vertical="top" wrapText="1"/>
    </xf>
    <xf numFmtId="0" fontId="0" fillId="5" borderId="1" pivotButton="0" quotePrefix="0" xfId="0"/>
    <xf numFmtId="0" fontId="0" fillId="5" borderId="1" applyAlignment="1" pivotButton="0" quotePrefix="0" xfId="0">
      <alignment vertical="top" wrapText="1"/>
    </xf>
    <xf numFmtId="0" fontId="0" fillId="3" borderId="1" applyAlignment="1" pivotButton="0" quotePrefix="0" xfId="0">
      <alignment vertical="top" wrapText="1"/>
    </xf>
    <xf numFmtId="172" fontId="0" fillId="5" borderId="1" pivotButton="0" quotePrefix="0" xfId="0"/>
    <xf numFmtId="173" fontId="0" fillId="5" borderId="1" pivotButton="0" quotePrefix="0" xfId="0"/>
    <xf numFmtId="174" fontId="0" fillId="5" borderId="1" pivotButton="0" quotePrefix="0" xfId="0"/>
    <xf numFmtId="175" fontId="0" fillId="5" borderId="1" pivotButton="0" quotePrefix="0" xfId="0"/>
    <xf numFmtId="0" fontId="0" fillId="4" borderId="1" pivotButton="0" quotePrefix="0" xfId="0"/>
    <xf numFmtId="0" fontId="0"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charts/chart1.xml><?xml version="1.0" encoding="utf-8"?>
<chartSpace xmlns:a="http://schemas.openxmlformats.org/drawingml/2006/main" xmlns="http://schemas.openxmlformats.org/drawingml/2006/chart">
  <chart>
    <title>
      <tx>
        <rich>
          <a:bodyPr/>
          <a:p>
            <a:pPr>
              <a:defRPr/>
            </a:pPr>
            <a:r>
              <a:t>Where the FY2026 saving comes from ($B/yr)</a:t>
            </a:r>
          </a:p>
        </rich>
      </tx>
    </title>
    <plotArea>
      <barChart>
        <barDir val="bar"/>
        <grouping val="clustered"/>
        <ser>
          <idx val="0"/>
          <order val="0"/>
          <tx>
            <strRef>
              <f>'Summary'!B15</f>
            </strRef>
          </tx>
          <spPr>
            <a:ln>
              <a:prstDash val="solid"/>
            </a:ln>
          </spPr>
          <dPt>
            <idx val="0"/>
            <spPr>
              <a:solidFill>
                <a:srgbClr val="2A78D6"/>
              </a:solidFill>
              <a:ln>
                <a:solidFill>
                  <a:srgbClr val="2A78D6"/>
                </a:solidFill>
                <a:prstDash val="solid"/>
              </a:ln>
            </spPr>
          </dPt>
          <dPt>
            <idx val="1"/>
            <spPr>
              <a:solidFill>
                <a:srgbClr val="EB6834"/>
              </a:solidFill>
              <a:ln>
                <a:solidFill>
                  <a:srgbClr val="EB6834"/>
                </a:solidFill>
                <a:prstDash val="solid"/>
              </a:ln>
            </spPr>
          </dPt>
          <dLbls>
            <numFmt formatCode="&quot;$&quot;#,##0&quot;B&quot;"/>
            <showLegendKey val="0"/>
            <showVal val="1"/>
            <showCatName val="0"/>
            <showSerName val="0"/>
            <showPercent val="0"/>
          </dLbls>
          <cat>
            <numRef>
              <f>'Summary'!$A$16:$A$17</f>
            </numRef>
          </cat>
          <val>
            <numRef>
              <f>'Summary'!$B$16:$B$17</f>
            </numRef>
          </val>
        </ser>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$B per year</a:t>
                </a:r>
              </a:p>
            </rich>
          </tx>
        </title>
        <majorTickMark val="none"/>
        <minorTickMark val="none"/>
        <crossAx val="10"/>
        <crosses val="max"/>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Spend cut as each lever switches on ($B/yr, FY2026)</a:t>
            </a:r>
          </a:p>
        </rich>
      </tx>
    </title>
    <plotArea>
      <barChart>
        <barDir val="bar"/>
        <grouping val="clustered"/>
        <ser>
          <idx val="0"/>
          <order val="0"/>
          <tx>
            <strRef>
              <f>'Value Bridge'!F48</f>
            </strRef>
          </tx>
          <spPr>
            <a:ln>
              <a:prstDash val="solid"/>
            </a:ln>
          </spPr>
          <dPt>
            <idx val="0"/>
            <spPr>
              <a:solidFill>
                <a:srgbClr val="A3A29C"/>
              </a:solidFill>
              <a:ln>
                <a:solidFill>
                  <a:srgbClr val="A3A29C"/>
                </a:solidFill>
                <a:prstDash val="solid"/>
              </a:ln>
            </spPr>
          </dPt>
          <dPt>
            <idx val="1"/>
            <spPr>
              <a:solidFill>
                <a:srgbClr val="2A78D6"/>
              </a:solidFill>
              <a:ln>
                <a:solidFill>
                  <a:srgbClr val="2A78D6"/>
                </a:solidFill>
                <a:prstDash val="solid"/>
              </a:ln>
            </spPr>
          </dPt>
          <dPt>
            <idx val="2"/>
            <spPr>
              <a:solidFill>
                <a:srgbClr val="EB6834"/>
              </a:solidFill>
              <a:ln>
                <a:solidFill>
                  <a:srgbClr val="EB6834"/>
                </a:solidFill>
                <a:prstDash val="solid"/>
              </a:ln>
            </spPr>
          </dPt>
          <dPt>
            <idx val="3"/>
            <spPr>
              <a:solidFill>
                <a:srgbClr val="1BAF7A"/>
              </a:solidFill>
              <a:ln>
                <a:solidFill>
                  <a:srgbClr val="1BAF7A"/>
                </a:solidFill>
                <a:prstDash val="solid"/>
              </a:ln>
            </spPr>
          </dPt>
          <dLbls>
            <numFmt formatCode="&quot;$&quot;#,##0&quot;B&quot;"/>
            <showLegendKey val="0"/>
            <showVal val="1"/>
            <showCatName val="0"/>
            <showSerName val="0"/>
            <showPercent val="0"/>
          </dLbls>
          <cat>
            <numRef>
              <f>'Value Bridge'!$A$49:$A$52</f>
            </numRef>
          </cat>
          <val>
            <numRef>
              <f>'Value Bridge'!$F$49:$F$52</f>
            </numRef>
          </val>
        </ser>
        <gapWidth val="60"/>
        <axId val="10"/>
        <axId val="100"/>
      </barChart>
      <catAx>
        <axId val="10"/>
        <scaling>
          <orientation val="maxMin"/>
        </scaling>
        <delete val="0"/>
        <axPos val="l"/>
        <majorTickMark val="none"/>
        <minorTickMark val="none"/>
        <crossAx val="100"/>
        <lblOffset val="100"/>
      </catAx>
      <valAx>
        <axId val="100"/>
        <scaling>
          <orientation val="minMax"/>
        </scaling>
        <delete val="0"/>
        <axPos val="l"/>
        <majorGridlines/>
        <title>
          <tx>
            <rich>
              <a:bodyPr/>
              <a:p>
                <a:pPr>
                  <a:defRPr/>
                </a:pPr>
                <a:r>
                  <a:t>$B per year</a:t>
                </a:r>
              </a:p>
            </rich>
          </tx>
        </title>
        <majorTickMark val="none"/>
        <minorTickMark val="none"/>
        <crossAx val="10"/>
        <crosses val="max"/>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4</row>
      <rowOff>0</rowOff>
    </from>
    <ext cx="504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10</col>
      <colOff>0</colOff>
      <row>3</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hyperlink" Target="https://www.sec.gov/Archives/edgar/data/789019/000095017025100235/msft-20250630.htm" TargetMode="External" Id="rId1" /><Relationship Type="http://schemas.openxmlformats.org/officeDocument/2006/relationships/hyperlink" Target="https://www.fool.com/earnings/call-transcripts/2026/04/29/microsoft-msft-q3-2026-earnings-transcript/" TargetMode="External" Id="rId2" /><Relationship Type="http://schemas.openxmlformats.org/officeDocument/2006/relationships/hyperlink" Target="https://news.alphastreet.com/microsoft-msft-q3-fy2026-azure-hits-40-growth-as-ai-business-reaches-37-billion-run-rate/" TargetMode="External" Id="rId3" /><Relationship Type="http://schemas.openxmlformats.org/officeDocument/2006/relationships/hyperlink" Target="https://techcrunch.com/2024/12/18/microsoft-bought-nearly-500000-nvidia-hopper-chips-this-year/" TargetMode="External" Id="rId4" /></Relationships>
</file>

<file path=xl/worksheets/_rels/sheet5.xml.rels><Relationships xmlns="http://schemas.openxmlformats.org/package/2006/relationships"><Relationship Type="http://schemas.openxmlformats.org/officeDocument/2006/relationships/hyperlink" Target="https://www.fool.com/earnings/call-transcripts/2026/02/04/alphabet-googl-q4-2025-earnings-call-transcript/" TargetMode="External" Id="rId1" /><Relationship Type="http://schemas.openxmlformats.org/officeDocument/2006/relationships/hyperlink" Target="https://www.cnbc.com/2026/04/29/alphabet-googl-q1-2026-earnings.html" TargetMode="External" Id="rId2" /><Relationship Type="http://schemas.openxmlformats.org/officeDocument/2006/relationships/hyperlink" Target="https://newsletter.semianalysis.com/p/tpuv7-google-takes-a-swing-at-the" TargetMode="External" Id="rId3" /></Relationships>
</file>

<file path=xl/worksheets/_rels/sheet6.xml.rels><Relationships xmlns="http://schemas.openxmlformats.org/package/2006/relationships"><Relationship Type="http://schemas.openxmlformats.org/officeDocument/2006/relationships/hyperlink" Target="https://www.sec.gov/Archives/edgar/data/1018724/000101872426000004/amzn-20251231.htm" TargetMode="External" Id="rId1" /><Relationship Type="http://schemas.openxmlformats.org/officeDocument/2006/relationships/hyperlink" Target="https://www.fool.com/earnings/call-transcripts/2026/02/05/amazon-amzn-q4-2025-earnings-call-transcript/" TargetMode="External" Id="rId2" /><Relationship Type="http://schemas.openxmlformats.org/officeDocument/2006/relationships/hyperlink" Target="https://www.bnnbloomberg.ca/business/artificial-intelligence/2026/04/09/amazon-cloud-units-ai-revenue-run-rate-exceeds-us15-billion-in-first-quarter-ceo-says/" TargetMode="External" Id="rId3" /></Relationships>
</file>

<file path=xl/worksheets/_rels/sheet7.xml.rels><Relationships xmlns="http://schemas.openxmlformats.org/package/2006/relationships"><Relationship Type="http://schemas.openxmlformats.org/officeDocument/2006/relationships/hyperlink" Target="https://investor.atmeta.com/investor-news/press-release-details/2026/Meta-Reports-Fourth-Quarter-and-Full-Year-2025-Results/default.aspx" TargetMode="External" Id="rId1" /><Relationship Type="http://schemas.openxmlformats.org/officeDocument/2006/relationships/hyperlink" Target="https://www.fool.com/earnings/call-transcripts/2026/04/29/meta-meta-q1-2026-earnings-call-transcript/" TargetMode="External" Id="rId2" /><Relationship Type="http://schemas.openxmlformats.org/officeDocument/2006/relationships/hyperlink" Target="https://techcrunch.com/2025/01/24/mark-zuckerberg-says-meta-will-have-1-3m-gpus-for-ai-by-year-end/" TargetMode="External" Id="rId3" /><Relationship Type="http://schemas.openxmlformats.org/officeDocument/2006/relationships/hyperlink" Target="https://www.thestack.technology/meta-extends-server-life-again-saving-it-2-9-billion/" TargetMode="External" Id="rId4" /><Relationship Type="http://schemas.openxmlformats.org/officeDocument/2006/relationships/hyperlink" Target="https://finance.yahoo.com/news/big-techs-spending-drove-nvidias-rise-154027146.html" TargetMode="External" Id="rId5" /></Relationships>
</file>

<file path=xl/worksheets/_rels/sheet8.xml.rels><Relationships xmlns="http://schemas.openxmlformats.org/package/2006/relationships"><Relationship Type="http://schemas.openxmlformats.org/officeDocument/2006/relationships/hyperlink" Target="https://www.ciodive.com/news/oracle-capex-spike-cloud-ai-data-center/807721/" TargetMode="External" Id="rId1" /><Relationship Type="http://schemas.openxmlformats.org/officeDocument/2006/relationships/hyperlink" Target="https://futurumgroup.com/insights/oracle-delivers-q4-fy-2025-results-with-27-cloud-growth-rpo-hits-138-billion/" TargetMode="External" Id="rId2" /><Relationship Type="http://schemas.openxmlformats.org/officeDocument/2006/relationships/hyperlink" Target="https://futurumgroup.com/insights/oracle-q2-fy-2026-cloud-grows-capex-rises-for-ai-buildout/" TargetMode="External" Id="rId3" /></Relationships>
</file>

<file path=xl/worksheets/_rels/sheet9.xml.rels><Relationships xmlns="http://schemas.openxmlformats.org/package/2006/relationships"><Relationship Type="http://schemas.openxmlformats.org/officeDocument/2006/relationships/hyperlink" Target="https://www.sec.gov/Archives/edgar/data/1181412/000162828026036936/spaceexplorationtechnologi.htm" TargetMode="External" Id="rId1" /><Relationship Type="http://schemas.openxmlformats.org/officeDocument/2006/relationships/hyperlink" Target="https://www.hl.co.uk/news/inside-spacexs-ipo-filing-revenue-starlink-ai-and-key-financials" TargetMode="External" Id="rId2" /><Relationship Type="http://schemas.openxmlformats.org/officeDocument/2006/relationships/hyperlink" Target="https://www.investing.com/analysis/spacex-is-quietly-becoming-an-ai-compute-and-orbital-infrastructure-company-200681776" TargetMode="External" Id="rId3" /><Relationship Type="http://schemas.openxmlformats.org/officeDocument/2006/relationships/hyperlink" Target="https://www.datacenterdynamics.com/en/news/spacex-ipo-musks-firm-set-to-launch-first-orbital-data-center-ai1-satellites-in-2027-will-put-compute-on-starlink-craft/" TargetMode="External" Id="rId4" /></Relationships>
</file>

<file path=xl/worksheets/sheet1.xml><?xml version="1.0" encoding="utf-8"?>
<worksheet xmlns="http://schemas.openxmlformats.org/spreadsheetml/2006/main">
  <sheetPr>
    <tabColor rgb="000B2545"/>
    <outlinePr summaryBelow="1" summaryRight="1"/>
    <pageSetUpPr/>
  </sheetPr>
  <dimension ref="A1:H43"/>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 width="17" customWidth="1" min="8" max="8"/>
  </cols>
  <sheetData>
    <row r="1" ht="30" customHeight="1">
      <c r="A1" s="1" t="inlineStr">
        <is>
          <t>HELARCTOS × AI CAPEX — what a more efficient AI architecture is worth</t>
        </is>
      </c>
      <c r="B1" s="2" t="n"/>
      <c r="C1" s="2" t="n"/>
      <c r="D1" s="2" t="n"/>
      <c r="E1" s="2" t="n"/>
      <c r="F1" s="2" t="n"/>
      <c r="G1" s="2" t="n"/>
    </row>
    <row r="2" ht="48" customHeight="1">
      <c r="A2" s="3">
        <f>"In FY2026 the six largest AI spenders (Microsoft, Alphabet, Amazon, Meta, Oracle, SpaceX) will spend ~$"&amp;TEXT('Value Bridge'!M70,"#,##0")&amp;"B on AI and earn ~$"&amp;TEXT('Value Bridge'!O70,"#,##0")&amp;"B from it. Helarctos models do the same AI work — training and inference at the same quality — on a fraction of the hardware. This page shows how much of that spend becomes unnecessary, and where the savings come from."</f>
        <v/>
      </c>
    </row>
    <row r="3">
      <c r="A3">
        <f>"Scenario: "&amp;Scenario&amp;"   (change it on the Levers tab)"</f>
        <v/>
      </c>
    </row>
    <row r="5">
      <c r="A5" s="4" t="inlineStr">
        <is>
          <t>THE HEADLINE</t>
        </is>
      </c>
      <c r="B5" s="4" t="inlineStr">
        <is>
          <t>FY2026 (now)</t>
        </is>
      </c>
      <c r="C5" s="4" t="inlineStr">
        <is>
          <t>FY2025</t>
        </is>
      </c>
      <c r="D5" s="5" t="n"/>
      <c r="E5" s="5" t="n"/>
      <c r="F5" s="5" t="n"/>
      <c r="G5" s="5" t="n"/>
    </row>
    <row r="6">
      <c r="A6" t="inlineStr">
        <is>
          <t>AI spend: chips, data centres, power</t>
        </is>
      </c>
      <c r="B6" s="6">
        <f>'Value Bridge'!M70</f>
        <v/>
      </c>
      <c r="C6" s="6">
        <f>'Value Bridge'!M81</f>
        <v/>
      </c>
    </row>
    <row r="7">
      <c r="A7" t="inlineStr">
        <is>
          <t>AI revenue</t>
        </is>
      </c>
      <c r="B7" s="6">
        <f>'Value Bridge'!O70</f>
        <v/>
      </c>
      <c r="C7" s="6">
        <f>'Value Bridge'!O81</f>
        <v/>
      </c>
    </row>
    <row r="8">
      <c r="A8" t="inlineStr">
        <is>
          <t>Net AI cash result today</t>
        </is>
      </c>
      <c r="B8" s="6">
        <f>'Value Bridge'!P70</f>
        <v/>
      </c>
      <c r="C8" s="6">
        <f>'Value Bridge'!P81</f>
        <v/>
      </c>
    </row>
    <row r="9">
      <c r="A9" s="7" t="inlineStr">
        <is>
          <t>Spend Helarctos makes unnecessary, per year</t>
        </is>
      </c>
      <c r="B9" s="8">
        <f>'Value Bridge'!L70</f>
        <v/>
      </c>
      <c r="C9" s="8">
        <f>'Value Bridge'!L81</f>
        <v/>
      </c>
    </row>
    <row r="10">
      <c r="A10" s="7" t="inlineStr">
        <is>
          <t>…as a share of AI spend</t>
        </is>
      </c>
      <c r="B10" s="9">
        <f>'Value Bridge'!N70</f>
        <v/>
      </c>
      <c r="C10" s="9">
        <f>'Value Bridge'!N81</f>
        <v/>
      </c>
    </row>
    <row r="11">
      <c r="A11" t="inlineStr">
        <is>
          <t>Net AI cash result with Helarctos</t>
        </is>
      </c>
      <c r="B11" s="6">
        <f>'Value Bridge'!Q70</f>
        <v/>
      </c>
      <c r="C11" s="6">
        <f>'Value Bridge'!Q81</f>
        <v/>
      </c>
    </row>
    <row r="12">
      <c r="A12" t="inlineStr">
        <is>
          <t>Value of that saving, capitalized at the discount rate</t>
        </is>
      </c>
      <c r="B12" s="10">
        <f>'Value Bridge'!L70/Inputs!$B$6/1000</f>
        <v/>
      </c>
      <c r="C12" s="10">
        <f>'Value Bridge'!L81/Inputs!$B$6/1000</f>
        <v/>
      </c>
    </row>
    <row r="14">
      <c r="A14" s="4" t="inlineStr">
        <is>
          <t>WHERE THE SAVINGS COME FROM — FY2026, $B per year</t>
        </is>
      </c>
      <c r="B14" s="5" t="n"/>
      <c r="C14" s="5" t="n"/>
      <c r="D14" s="5" t="n"/>
      <c r="E14" s="5" t="n"/>
      <c r="F14" s="5" t="n"/>
      <c r="G14" s="5" t="n"/>
    </row>
    <row r="15">
      <c r="A15" s="11" t="inlineStr">
        <is>
          <t>Where</t>
        </is>
      </c>
      <c r="B15" s="11" t="inlineStr">
        <is>
          <t>$B / yr (capex + power)</t>
        </is>
      </c>
      <c r="C15" s="11" t="inlineStr">
        <is>
          <t>share</t>
        </is>
      </c>
      <c r="D15" s="11" t="inlineStr">
        <is>
          <t>How Helarctos does it</t>
        </is>
      </c>
      <c r="E15" s="12" t="n"/>
      <c r="F15" s="12" t="n"/>
      <c r="G15" s="13" t="n"/>
    </row>
    <row r="16" ht="62" customHeight="1">
      <c r="A16" s="11" t="inlineStr">
        <is>
          <t>Training</t>
        </is>
      </c>
      <c r="B16" s="6">
        <f>'Value Bridge'!F70+'Value Bridge'!J70</f>
        <v/>
      </c>
      <c r="C16" s="14">
        <f>B16/$B$18</f>
        <v/>
      </c>
      <c r="D16" s="3">
        <f>"Same-quality model is "&amp;TEXT(SmallerModel,"0.0")&amp;"× smaller and needs "&amp;TEXT(FewerTokens,"0.0")&amp;"× fewer training tokens (training speed per token is about the same) → "&amp;TEXT(TrainLever,"0")&amp;"× fewer GPU-hours → smaller training clusters, and the power they would draw."</f>
        <v/>
      </c>
    </row>
    <row r="17" ht="62" customHeight="1">
      <c r="A17" s="11" t="inlineStr">
        <is>
          <t>Inference</t>
        </is>
      </c>
      <c r="B17" s="6">
        <f>'Value Bridge'!G70+'Value Bridge'!K70</f>
        <v/>
      </c>
      <c r="C17" s="14">
        <f>B17/$B$18</f>
        <v/>
      </c>
      <c r="D17" s="3">
        <f>"A transformer's memory grows with every token of every live conversation; Helarctos keeps a fixed-size state (÷"&amp;TEXT(MemoryLever,"0")&amp;" memory) and does "&amp;TEXT(ServeComputeLever,"0")&amp;"× less compute per token. A GPU is bought whole, so the fleet shrinks by whichever limit binds: "&amp;TEXT(ServeGPULever,"0")&amp;"× fewer inference GPUs, and their power."</f>
        <v/>
      </c>
    </row>
    <row r="18">
      <c r="A18" s="11" t="inlineStr">
        <is>
          <t>TOTAL</t>
        </is>
      </c>
      <c r="B18" s="15">
        <f>SUM(B16:B17)</f>
        <v/>
      </c>
      <c r="C18" s="14">
        <f>SUM(C16:C17)</f>
        <v/>
      </c>
    </row>
    <row r="19">
      <c r="A19" s="3" t="inlineStr">
        <is>
          <t>Step-by-step build and the one-lever-at-a-time view: Value Bridge tab.</t>
        </is>
      </c>
    </row>
    <row r="23">
      <c r="A23" s="4" t="inlineStr">
        <is>
          <t>BY COMPANY — FY2026, $B</t>
        </is>
      </c>
      <c r="B23" s="5" t="n"/>
      <c r="C23" s="5" t="n"/>
      <c r="D23" s="5" t="n"/>
      <c r="E23" s="5" t="n"/>
      <c r="F23" s="5" t="n"/>
      <c r="G23" s="5" t="n"/>
      <c r="H23" s="5" t="n"/>
    </row>
    <row r="24" ht="30" customHeight="1">
      <c r="A24" s="16" t="inlineStr">
        <is>
          <t>Company</t>
        </is>
      </c>
      <c r="B24" s="16" t="inlineStr">
        <is>
          <t>AI spend</t>
        </is>
      </c>
      <c r="C24" s="16" t="inlineStr">
        <is>
          <t>Training saving</t>
        </is>
      </c>
      <c r="D24" s="16" t="inlineStr">
        <is>
          <t>Inference saving</t>
        </is>
      </c>
      <c r="E24" s="16" t="inlineStr">
        <is>
          <t>Helarctos saving / yr</t>
        </is>
      </c>
      <c r="F24" s="16" t="inlineStr">
        <is>
          <t>% of AI spend</t>
        </is>
      </c>
      <c r="G24" s="16" t="inlineStr">
        <is>
          <t>Net AI today</t>
        </is>
      </c>
      <c r="H24" s="16" t="inlineStr">
        <is>
          <t>Net AI with Helarctos</t>
        </is>
      </c>
    </row>
    <row r="25">
      <c r="A25" s="17" t="inlineStr">
        <is>
          <t>Microsoft</t>
        </is>
      </c>
      <c r="B25" s="6">
        <f>'Value Bridge'!M64</f>
        <v/>
      </c>
      <c r="C25" s="6">
        <f>'Value Bridge'!F64+'Value Bridge'!J64</f>
        <v/>
      </c>
      <c r="D25" s="6">
        <f>'Value Bridge'!G64+'Value Bridge'!K64</f>
        <v/>
      </c>
      <c r="E25" s="6">
        <f>'Value Bridge'!L64</f>
        <v/>
      </c>
      <c r="F25" s="14">
        <f>'Value Bridge'!N64</f>
        <v/>
      </c>
      <c r="G25" s="6">
        <f>'Value Bridge'!P64</f>
        <v/>
      </c>
      <c r="H25" s="6">
        <f>'Value Bridge'!Q64</f>
        <v/>
      </c>
    </row>
    <row r="26">
      <c r="A26" s="17" t="inlineStr">
        <is>
          <t>Alphabet</t>
        </is>
      </c>
      <c r="B26" s="6">
        <f>'Value Bridge'!M65</f>
        <v/>
      </c>
      <c r="C26" s="6">
        <f>'Value Bridge'!F65+'Value Bridge'!J65</f>
        <v/>
      </c>
      <c r="D26" s="6">
        <f>'Value Bridge'!G65+'Value Bridge'!K65</f>
        <v/>
      </c>
      <c r="E26" s="6">
        <f>'Value Bridge'!L65</f>
        <v/>
      </c>
      <c r="F26" s="14">
        <f>'Value Bridge'!N65</f>
        <v/>
      </c>
      <c r="G26" s="6">
        <f>'Value Bridge'!P65</f>
        <v/>
      </c>
      <c r="H26" s="6">
        <f>'Value Bridge'!Q65</f>
        <v/>
      </c>
    </row>
    <row r="27">
      <c r="A27" s="17" t="inlineStr">
        <is>
          <t>Amazon</t>
        </is>
      </c>
      <c r="B27" s="6">
        <f>'Value Bridge'!M66</f>
        <v/>
      </c>
      <c r="C27" s="6">
        <f>'Value Bridge'!F66+'Value Bridge'!J66</f>
        <v/>
      </c>
      <c r="D27" s="6">
        <f>'Value Bridge'!G66+'Value Bridge'!K66</f>
        <v/>
      </c>
      <c r="E27" s="6">
        <f>'Value Bridge'!L66</f>
        <v/>
      </c>
      <c r="F27" s="14">
        <f>'Value Bridge'!N66</f>
        <v/>
      </c>
      <c r="G27" s="6">
        <f>'Value Bridge'!P66</f>
        <v/>
      </c>
      <c r="H27" s="6">
        <f>'Value Bridge'!Q66</f>
        <v/>
      </c>
    </row>
    <row r="28">
      <c r="A28" s="17" t="inlineStr">
        <is>
          <t>Meta</t>
        </is>
      </c>
      <c r="B28" s="6">
        <f>'Value Bridge'!M67</f>
        <v/>
      </c>
      <c r="C28" s="6">
        <f>'Value Bridge'!F67+'Value Bridge'!J67</f>
        <v/>
      </c>
      <c r="D28" s="6">
        <f>'Value Bridge'!G67+'Value Bridge'!K67</f>
        <v/>
      </c>
      <c r="E28" s="6">
        <f>'Value Bridge'!L67</f>
        <v/>
      </c>
      <c r="F28" s="14">
        <f>'Value Bridge'!N67</f>
        <v/>
      </c>
      <c r="G28" s="6">
        <f>'Value Bridge'!P67</f>
        <v/>
      </c>
      <c r="H28" s="6">
        <f>'Value Bridge'!Q67</f>
        <v/>
      </c>
    </row>
    <row r="29">
      <c r="A29" s="17" t="inlineStr">
        <is>
          <t>Oracle</t>
        </is>
      </c>
      <c r="B29" s="6">
        <f>'Value Bridge'!M68</f>
        <v/>
      </c>
      <c r="C29" s="6">
        <f>'Value Bridge'!F68+'Value Bridge'!J68</f>
        <v/>
      </c>
      <c r="D29" s="6">
        <f>'Value Bridge'!G68+'Value Bridge'!K68</f>
        <v/>
      </c>
      <c r="E29" s="6">
        <f>'Value Bridge'!L68</f>
        <v/>
      </c>
      <c r="F29" s="14">
        <f>'Value Bridge'!N68</f>
        <v/>
      </c>
      <c r="G29" s="6">
        <f>'Value Bridge'!P68</f>
        <v/>
      </c>
      <c r="H29" s="6">
        <f>'Value Bridge'!Q68</f>
        <v/>
      </c>
    </row>
    <row r="30">
      <c r="A30" s="17" t="inlineStr">
        <is>
          <t>SpaceX</t>
        </is>
      </c>
      <c r="B30" s="6">
        <f>'Value Bridge'!M69</f>
        <v/>
      </c>
      <c r="C30" s="6">
        <f>'Value Bridge'!F69+'Value Bridge'!J69</f>
        <v/>
      </c>
      <c r="D30" s="6">
        <f>'Value Bridge'!G69+'Value Bridge'!K69</f>
        <v/>
      </c>
      <c r="E30" s="6">
        <f>'Value Bridge'!L69</f>
        <v/>
      </c>
      <c r="F30" s="14">
        <f>'Value Bridge'!N69</f>
        <v/>
      </c>
      <c r="G30" s="6">
        <f>'Value Bridge'!P69</f>
        <v/>
      </c>
      <c r="H30" s="6">
        <f>'Value Bridge'!Q69</f>
        <v/>
      </c>
    </row>
    <row r="31">
      <c r="A31" s="11" t="inlineStr">
        <is>
          <t>TOTAL (6)</t>
        </is>
      </c>
      <c r="B31" s="18">
        <f>'Value Bridge'!M70</f>
        <v/>
      </c>
      <c r="C31" s="18">
        <f>'Value Bridge'!F70+'Value Bridge'!J70</f>
        <v/>
      </c>
      <c r="D31" s="18">
        <f>'Value Bridge'!G70+'Value Bridge'!K70</f>
        <v/>
      </c>
      <c r="E31" s="18">
        <f>'Value Bridge'!L70</f>
        <v/>
      </c>
      <c r="F31" s="19">
        <f>'Value Bridge'!N70</f>
        <v/>
      </c>
      <c r="G31" s="18">
        <f>'Value Bridge'!P70</f>
        <v/>
      </c>
      <c r="H31" s="18">
        <f>'Value Bridge'!Q70</f>
        <v/>
      </c>
    </row>
    <row r="33">
      <c r="A33" s="4" t="inlineStr">
        <is>
          <t>WHY THE ANSWER IS ~99% OF THE CHIP BILL — NOT "1,000×"</t>
        </is>
      </c>
      <c r="B33" s="5" t="n"/>
      <c r="C33" s="5" t="n"/>
      <c r="D33" s="5" t="n"/>
      <c r="E33" s="5" t="n"/>
      <c r="F33" s="5" t="n"/>
      <c r="G33" s="5" t="n"/>
    </row>
    <row r="34" ht="62" customHeight="1">
      <c r="A34" s="3" t="inlineStr">
        <is>
          <t>Multiples don't multiply. A GPU is bought whole — memory and compute together — so an inference fleet shrinks by whichever need falls LEAST (here the conservative 100× memory cap), not by 100 × 793. Cutting a fleet 100× already removes 99% of it; bigger multiples can only move the last 1%. So the dollars are set by how much these firms spend on chips, not by how large the multiple is. We report dollars.</t>
        </is>
      </c>
    </row>
    <row r="36">
      <c r="A36" s="4" t="inlineStr">
        <is>
          <t>HOW TO READ THIS WORKBOOK</t>
        </is>
      </c>
      <c r="B36" s="5" t="n"/>
      <c r="C36" s="5" t="n"/>
      <c r="D36" s="5" t="n"/>
      <c r="E36" s="5" t="n"/>
      <c r="F36" s="5" t="n"/>
      <c r="G36" s="5" t="n"/>
    </row>
    <row r="37">
      <c r="A37" s="20" t="inlineStr">
        <is>
          <t>Summary</t>
        </is>
      </c>
      <c r="B37" s="3" t="inlineStr">
        <is>
          <t>this page — the headline, where the savings come from, and by company</t>
        </is>
      </c>
    </row>
    <row r="38">
      <c r="A38" s="20" t="inlineStr">
        <is>
          <t>Value Bridge</t>
        </is>
      </c>
      <c r="B38" s="3" t="inlineStr">
        <is>
          <t>step by step from disclosed capex to the saving; training vs inference; where each lever moves the needle</t>
        </is>
      </c>
    </row>
    <row r="39">
      <c r="A39" s="20" t="inlineStr">
        <is>
          <t>Levers</t>
        </is>
      </c>
      <c r="B39" s="3" t="inlineStr">
        <is>
          <t>the five Helarctos levers in plain English, how sure we are of each, the scenario switch, training shares</t>
        </is>
      </c>
    </row>
    <row r="40" ht="30" customHeight="1">
      <c r="A40" s="20" t="inlineStr">
        <is>
          <t>Microsoft / Alphabet / Amazon / Meta / Oracle / SpaceX</t>
        </is>
      </c>
      <c r="B40" s="3" t="inlineStr">
        <is>
          <t>each company's capex build from its filings (green = disclosed)</t>
        </is>
      </c>
    </row>
    <row r="41">
      <c r="A41" s="20" t="inlineStr">
        <is>
          <t>Technical appendix</t>
        </is>
      </c>
      <c r="B41" s="3" t="inlineStr">
        <is>
          <t>Totals, Inputs, Sensitivity, CostLadder, ServingTraining, Evidence, Methodology — the full engineering ledger behind the levers</t>
        </is>
      </c>
    </row>
    <row r="43">
      <c r="A43" s="3" t="inlineStr">
        <is>
          <t>Colours: yellow = assumption you can edit · green = disclosed filing / market data · blue = formula. Cash basis; FY2026 is company guidance; not investment advice.</t>
        </is>
      </c>
    </row>
  </sheetData>
  <mergeCells count="13">
    <mergeCell ref="B38:G38"/>
    <mergeCell ref="D17:G17"/>
    <mergeCell ref="B37:G37"/>
    <mergeCell ref="A3:G3"/>
    <mergeCell ref="A34:G34"/>
    <mergeCell ref="D16:G16"/>
    <mergeCell ref="B41:G41"/>
    <mergeCell ref="A2:G2"/>
    <mergeCell ref="D15:G15"/>
    <mergeCell ref="B40:G40"/>
    <mergeCell ref="A43:G43"/>
    <mergeCell ref="A19:G19"/>
    <mergeCell ref="B39:G39"/>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tabColor rgb="000B2545"/>
    <outlinePr summaryBelow="1" summaryRight="1"/>
    <pageSetUpPr/>
  </sheetPr>
  <dimension ref="A1:Q8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2" customWidth="1" min="10" max="10"/>
    <col width="12" customWidth="1" min="11" max="11"/>
    <col width="13" customWidth="1" min="12" max="12"/>
    <col width="13" customWidth="1" min="13" max="13"/>
    <col width="11" customWidth="1" min="14" max="14"/>
    <col width="11" customWidth="1" min="15" max="15"/>
    <col width="12" customWidth="1" min="16" max="16"/>
    <col width="14" customWidth="1" min="17" max="17"/>
  </cols>
  <sheetData>
    <row r="1" ht="30" customHeight="1">
      <c r="A1" s="1" t="inlineStr">
        <is>
          <t>VALUE BRIDGE — how the Helarctos architecture turns into dollars (FY2026, $B)</t>
        </is>
      </c>
      <c r="B1" s="2" t="n"/>
      <c r="C1" s="2" t="n"/>
      <c r="D1" s="2" t="n"/>
      <c r="E1" s="2" t="n"/>
      <c r="F1" s="2" t="n"/>
      <c r="G1" s="2" t="n"/>
      <c r="H1" s="2" t="n"/>
      <c r="I1" s="2" t="n"/>
    </row>
    <row r="2" ht="32" customHeight="1">
      <c r="A2" s="3" t="inlineStr">
        <is>
          <t>Read top to bottom: what the six largest AI spenders spend, how their chip fleet splits between TRAINING models and INFERENCE (serving users), what Helarctos changes in each, and the dollars that follow. Every cell is a live formula; the levers live on the Levers tab.</t>
        </is>
      </c>
    </row>
    <row r="4">
      <c r="A4" s="4" t="inlineStr">
        <is>
          <t>STEP 1 — What they spend on AI this year</t>
        </is>
      </c>
      <c r="B4" s="5" t="n"/>
      <c r="C4" s="5" t="n"/>
      <c r="D4" s="5" t="n"/>
      <c r="E4" s="5" t="n"/>
      <c r="F4" s="5" t="n"/>
      <c r="G4" s="5" t="n"/>
      <c r="H4" s="5" t="n"/>
      <c r="I4" s="5" t="n"/>
    </row>
    <row r="5">
      <c r="A5" s="3" t="inlineStr">
        <is>
          <t>Total capex, all purposes</t>
        </is>
      </c>
      <c r="B5" s="6">
        <f>'Microsoft'!$C$3+'Alphabet'!$C$3+'Amazon'!$C$3+'Meta'!$C$3+'Oracle'!$C$3+'SpaceX'!$C$3</f>
        <v/>
      </c>
      <c r="D5" s="3" t="inlineStr">
        <is>
          <t>Company filings and guidance (green cells on each company tab).</t>
        </is>
      </c>
    </row>
    <row r="6">
      <c r="A6" s="3" t="inlineStr">
        <is>
          <t>AI data-centre capex</t>
        </is>
      </c>
      <c r="B6" s="6">
        <f>'Microsoft'!$C$10+'Alphabet'!$C$10+'Amazon'!$C$10+'Meta'!$C$10+'Oracle'!$C$10+'SpaceX'!$C$10</f>
        <v/>
      </c>
      <c r="D6" s="3" t="inlineStr">
        <is>
          <t>Strips non-AI spend (e.g. Amazon retail logistics).</t>
        </is>
      </c>
    </row>
    <row r="7">
      <c r="A7" s="20" t="inlineStr">
        <is>
          <t>…of which AI chips (GPUs, TPUs)</t>
        </is>
      </c>
      <c r="B7" s="18">
        <f>B70</f>
        <v/>
      </c>
      <c r="D7" s="3" t="inlineStr">
        <is>
          <t>The part Helarctos shrinks. Buildings, power and networking are NOT counted here (upside).</t>
        </is>
      </c>
    </row>
    <row r="8">
      <c r="A8" s="3" t="inlineStr">
        <is>
          <t>Power &amp; operations for those chips, per year</t>
        </is>
      </c>
      <c r="B8" s="6">
        <f>I70</f>
        <v/>
      </c>
    </row>
    <row r="9">
      <c r="A9" s="3" t="inlineStr">
        <is>
          <t>AI revenue</t>
        </is>
      </c>
      <c r="B9" s="6">
        <f>O70</f>
        <v/>
      </c>
      <c r="D9" s="3" t="inlineStr">
        <is>
          <t>Disclosed run-rates (Microsoft, Amazon) or estimates (others).</t>
        </is>
      </c>
    </row>
    <row r="10">
      <c r="A10" s="20" t="inlineStr">
        <is>
          <t>Net AI cash result today</t>
        </is>
      </c>
      <c r="B10" s="18">
        <f>P70</f>
        <v/>
      </c>
      <c r="D10" s="3" t="inlineStr">
        <is>
          <t>AI revenue − AI capex − power. They are all losing money on AI today.</t>
        </is>
      </c>
    </row>
    <row r="12">
      <c r="A12" s="4" t="inlineStr">
        <is>
          <t>STEP 2 — Split the chip fleet by what it does</t>
        </is>
      </c>
      <c r="B12" s="5" t="n"/>
      <c r="C12" s="4" t="inlineStr">
        <is>
          <t>share</t>
        </is>
      </c>
      <c r="D12" s="5" t="n"/>
      <c r="E12" s="5" t="n"/>
      <c r="F12" s="5" t="n"/>
      <c r="G12" s="5" t="n"/>
      <c r="H12" s="5" t="n"/>
      <c r="I12" s="5" t="n"/>
    </row>
    <row r="13">
      <c r="A13" s="3" t="inlineStr">
        <is>
          <t>Training fleet — builds new models</t>
        </is>
      </c>
      <c r="B13" s="6">
        <f>D70</f>
        <v/>
      </c>
      <c r="C13" s="14">
        <f>B13/B7</f>
        <v/>
      </c>
      <c r="D13" s="3" t="inlineStr">
        <is>
          <t>Estimated per company, 25%–55% (Levers tab); chip-weighted average shown.</t>
        </is>
      </c>
    </row>
    <row r="14">
      <c r="A14" s="3" t="inlineStr">
        <is>
          <t>Inference fleet — answers users</t>
        </is>
      </c>
      <c r="B14" s="6">
        <f>E70</f>
        <v/>
      </c>
      <c r="C14" s="14">
        <f>B14/B7</f>
        <v/>
      </c>
    </row>
    <row r="16">
      <c r="A16" s="4" t="inlineStr">
        <is>
          <t>STEP 3 — TRAINING: fewer GPU-hours per model → smaller training clusters</t>
        </is>
      </c>
      <c r="B16" s="5" t="n"/>
      <c r="C16" s="4" t="inlineStr">
        <is>
          <t>lever</t>
        </is>
      </c>
      <c r="D16" s="5" t="n"/>
      <c r="E16" s="5" t="n"/>
      <c r="F16" s="5" t="n"/>
      <c r="G16" s="5" t="n"/>
      <c r="H16" s="5" t="n"/>
      <c r="I16" s="5" t="n"/>
    </row>
    <row r="17">
      <c r="A17" s="3" t="inlineStr">
        <is>
          <t>Training fleet capex today</t>
        </is>
      </c>
      <c r="B17" s="6">
        <f>B13</f>
        <v/>
      </c>
    </row>
    <row r="18">
      <c r="A18" s="3" t="inlineStr">
        <is>
          <t>Helarctos model is smaller for the same quality</t>
        </is>
      </c>
      <c r="C18" s="21">
        <f>SmallerModel</f>
        <v/>
      </c>
      <c r="D18" s="3" t="inlineStr">
        <is>
          <t>fewer parameters to update at every step (lever 1)</t>
        </is>
      </c>
    </row>
    <row r="19">
      <c r="A19" s="3" t="inlineStr">
        <is>
          <t>…so it needs fewer training tokens</t>
        </is>
      </c>
      <c r="C19" s="21">
        <f>FewerTokens</f>
        <v/>
      </c>
      <c r="D19" s="3" t="inlineStr">
        <is>
          <t>compute-optimal training (lever 2)</t>
        </is>
      </c>
    </row>
    <row r="20">
      <c r="A20" s="3" t="inlineStr">
        <is>
          <t>…at about the same speed per token</t>
        </is>
      </c>
      <c r="C20" s="21">
        <f>TrainSpeed</f>
        <v/>
      </c>
      <c r="D20" s="3" t="inlineStr">
        <is>
          <t>comparable at the same size — no speed credit taken (lever 3)</t>
        </is>
      </c>
    </row>
    <row r="21">
      <c r="A21" s="7" t="inlineStr">
        <is>
          <t>GPU-hours per training run fall by</t>
        </is>
      </c>
      <c r="C21" s="22">
        <f>TrainLever</f>
        <v/>
      </c>
      <c r="D21" s="3" t="inlineStr">
        <is>
          <t>multiply the three</t>
        </is>
      </c>
    </row>
    <row r="22">
      <c r="A22" s="3" t="inlineStr">
        <is>
          <t>Training fleet needed with Helarctos</t>
        </is>
      </c>
      <c r="B22" s="6">
        <f>B17/C21</f>
        <v/>
      </c>
    </row>
    <row r="23">
      <c r="A23" s="3" t="inlineStr">
        <is>
          <t>Training capex avoided</t>
        </is>
      </c>
      <c r="B23" s="6">
        <f>B17-B22</f>
        <v/>
      </c>
    </row>
    <row r="24">
      <c r="A24" s="3" t="inlineStr">
        <is>
          <t>Power &amp; operations those GPUs would have drawn</t>
        </is>
      </c>
      <c r="B24" s="6">
        <f>J70</f>
        <v/>
      </c>
      <c r="D24" s="3" t="inlineStr">
        <is>
          <t>power scales with the fleet</t>
        </is>
      </c>
    </row>
    <row r="25">
      <c r="A25" s="20" t="inlineStr">
        <is>
          <t>TRAINING SAVING (capex + power)</t>
        </is>
      </c>
      <c r="B25" s="15">
        <f>B23+B24</f>
        <v/>
      </c>
    </row>
    <row r="26" ht="48" customHeight="1">
      <c r="A26" s="3">
        <f>"How training savings become capex savings: labs size their training clusters to the GPU-hours their training runs need. If every model of a given quality needs ~"&amp;TEXT(TrainLever,"0")&amp;"× fewer GPU-hours, the same training programme runs on a cluster ~"&amp;TEXT(TrainLever,"0")&amp;"× smaller — the GPUs that never have to be bought are capex avoided, and the power they would have drawn is saved every year."</f>
        <v/>
      </c>
    </row>
    <row r="28">
      <c r="A28" s="4" t="inlineStr">
        <is>
          <t>STEP 4 — INFERENCE: less memory and more conversations per GPU → fewer inference GPUs</t>
        </is>
      </c>
      <c r="B28" s="5" t="n"/>
      <c r="C28" s="4" t="inlineStr">
        <is>
          <t>lever</t>
        </is>
      </c>
      <c r="D28" s="5" t="n"/>
      <c r="E28" s="5" t="n"/>
      <c r="F28" s="5" t="n"/>
      <c r="G28" s="5" t="n"/>
      <c r="H28" s="5" t="n"/>
      <c r="I28" s="5" t="n"/>
    </row>
    <row r="29">
      <c r="A29" s="3" t="inlineStr">
        <is>
          <t>Inference fleet capex today</t>
        </is>
      </c>
      <c r="B29" s="6">
        <f>B14</f>
        <v/>
      </c>
    </row>
    <row r="30">
      <c r="A30" s="3" t="inlineStr">
        <is>
          <t>Memory needed per conversation falls by</t>
        </is>
      </c>
      <c r="C30" s="23">
        <f>MemoryLever</f>
        <v/>
      </c>
      <c r="D30" s="3" t="inlineStr">
        <is>
          <t>fixed-size state (lever 4)</t>
        </is>
      </c>
    </row>
    <row r="31">
      <c r="A31" s="3" t="inlineStr">
        <is>
          <t>Compute needed per token falls by</t>
        </is>
      </c>
      <c r="C31" s="21">
        <f>ServeComputeLever</f>
        <v/>
      </c>
      <c r="D31" s="3" t="inlineStr">
        <is>
          <t>smaller model × more conversations per GPU (levers 1 × 5)</t>
        </is>
      </c>
    </row>
    <row r="32">
      <c r="A32" s="20" t="inlineStr">
        <is>
          <t>GPUs needed fall by — whichever limit binds</t>
        </is>
      </c>
      <c r="C32" s="22">
        <f>ServeGPULever</f>
        <v/>
      </c>
      <c r="D32" s="3" t="inlineStr">
        <is>
          <t>the smaller of the two: a GPU is bought whole</t>
        </is>
      </c>
    </row>
    <row r="33">
      <c r="A33" t="inlineStr">
        <is>
          <t>Inference fleet needed with Helarctos</t>
        </is>
      </c>
      <c r="B33" s="6">
        <f>B29/C32</f>
        <v/>
      </c>
    </row>
    <row r="34">
      <c r="A34" s="3" t="inlineStr">
        <is>
          <t>Inference capex avoided</t>
        </is>
      </c>
      <c r="B34" s="6">
        <f>B29-B33</f>
        <v/>
      </c>
    </row>
    <row r="35">
      <c r="A35" s="3" t="inlineStr">
        <is>
          <t>Power &amp; operations those GPUs would have drawn</t>
        </is>
      </c>
      <c r="B35" s="6">
        <f>K70</f>
        <v/>
      </c>
      <c r="D35" s="3" t="inlineStr">
        <is>
          <t>power scales with the fleet</t>
        </is>
      </c>
    </row>
    <row r="36">
      <c r="A36" s="20" t="inlineStr">
        <is>
          <t>INFERENCE SAVING (capex + power)</t>
        </is>
      </c>
      <c r="B36" s="15">
        <f>B34+B35</f>
        <v/>
      </c>
      <c r="D36" s="3" t="inlineStr">
        <is>
          <t>A GPU brings memory and compute together; the fleet must cover whichever runs out first. Transformers at long context run out of MEMORY (the growing KV cache) first.</t>
        </is>
      </c>
    </row>
    <row r="38">
      <c r="A38" s="4" t="inlineStr">
        <is>
          <t>RESULT — FY2026</t>
        </is>
      </c>
      <c r="B38" s="5" t="n"/>
      <c r="C38" s="5" t="n"/>
      <c r="D38" s="5" t="n"/>
      <c r="E38" s="5" t="n"/>
      <c r="F38" s="5" t="n"/>
      <c r="G38" s="5" t="n"/>
      <c r="H38" s="5" t="n"/>
      <c r="I38" s="5" t="n"/>
    </row>
    <row r="39">
      <c r="A39" s="3" t="inlineStr">
        <is>
          <t>Training (capex + power)</t>
        </is>
      </c>
      <c r="B39" s="6">
        <f>B25</f>
        <v/>
      </c>
    </row>
    <row r="40">
      <c r="A40" s="3" t="inlineStr">
        <is>
          <t>Inference (capex + power)</t>
        </is>
      </c>
      <c r="B40" s="6">
        <f>B36</f>
        <v/>
      </c>
    </row>
    <row r="41">
      <c r="A41" s="20" t="inlineStr">
        <is>
          <t>SPEND HELARCTOS MAKES UNNECESSARY, per year</t>
        </is>
      </c>
      <c r="B41" s="15">
        <f>B39+B40</f>
        <v/>
      </c>
      <c r="D41" s="3" t="inlineStr">
        <is>
          <t>Ties to the detail table total below.</t>
        </is>
      </c>
    </row>
    <row r="42">
      <c r="A42" s="20" t="inlineStr">
        <is>
          <t>…as a share of all AI spend</t>
        </is>
      </c>
      <c r="B42" s="19">
        <f>B41/M70</f>
        <v/>
      </c>
    </row>
    <row r="43">
      <c r="A43" s="3" t="inlineStr">
        <is>
          <t>…as a share of the AI-chip bill</t>
        </is>
      </c>
      <c r="B43" s="14">
        <f>(B23+B34)/B7</f>
        <v/>
      </c>
    </row>
    <row r="44">
      <c r="A44" s="20" t="inlineStr">
        <is>
          <t>Net AI cash result with Helarctos</t>
        </is>
      </c>
      <c r="B44" s="18">
        <f>B10+B41</f>
        <v/>
      </c>
    </row>
    <row r="45">
      <c r="A45" s="3" t="inlineStr">
        <is>
          <t>Value of the saving, capitalized (÷ discount rate)</t>
        </is>
      </c>
      <c r="B45" s="10">
        <f>B41/Inputs!$B$6/1000</f>
        <v/>
      </c>
      <c r="D45" s="3" t="inlineStr">
        <is>
          <t>Simple perpetuity at the Inputs discount rate (6%).</t>
        </is>
      </c>
    </row>
    <row r="47">
      <c r="A47" s="4" t="inlineStr">
        <is>
          <t>WHERE THE NEEDLE MOVES — switch the Helarctos levers on one at a time (FY2026)</t>
        </is>
      </c>
      <c r="B47" s="5" t="n"/>
      <c r="C47" s="5" t="n"/>
      <c r="D47" s="5" t="n"/>
      <c r="E47" s="5" t="n"/>
      <c r="F47" s="5" t="n"/>
      <c r="G47" s="5" t="n"/>
      <c r="H47" s="5" t="n"/>
      <c r="I47" s="5" t="n"/>
    </row>
    <row r="48" ht="32" customHeight="1">
      <c r="A48" s="16" t="inlineStr">
        <is>
          <t>Step</t>
        </is>
      </c>
      <c r="B48" s="16" t="inlineStr">
        <is>
          <t>Training GPU-hours fall by</t>
        </is>
      </c>
      <c r="C48" s="16" t="inlineStr">
        <is>
          <t>Inference memory falls by</t>
        </is>
      </c>
      <c r="D48" s="16" t="inlineStr">
        <is>
          <t>Inference compute falls by</t>
        </is>
      </c>
      <c r="E48" s="16" t="inlineStr">
        <is>
          <t>Chip fleet cut (inference GPUs fall by the smaller)</t>
        </is>
      </c>
      <c r="F48" s="16" t="inlineStr">
        <is>
          <t>Spend cut, $B/yr</t>
        </is>
      </c>
      <c r="G48" s="16" t="inlineStr">
        <is>
          <t>Added by this step</t>
        </is>
      </c>
    </row>
    <row r="49">
      <c r="A49" s="24" t="inlineStr">
        <is>
          <t>Today's transformer fleet</t>
        </is>
      </c>
      <c r="B49" s="21" t="n">
        <v>1</v>
      </c>
      <c r="C49" s="23" t="n">
        <v>1</v>
      </c>
      <c r="D49" s="21" t="n">
        <v>1</v>
      </c>
      <c r="E49" s="25">
        <f>(D70*(1-1/B49)+E70*(1-1/MIN(C49,D49)))/B70</f>
        <v/>
      </c>
      <c r="F49" s="18">
        <f>E49*(B70+I70)</f>
        <v/>
      </c>
      <c r="G49" s="26">
        <f>F49</f>
        <v/>
      </c>
    </row>
    <row r="50">
      <c r="A50" s="24" t="inlineStr">
        <is>
          <t>Smaller model for the same quality (levers 1, 2)</t>
        </is>
      </c>
      <c r="B50" s="21">
        <f>SmallerModel^2</f>
        <v/>
      </c>
      <c r="C50" s="23" t="n">
        <v>1</v>
      </c>
      <c r="D50" s="21">
        <f>SmallerModel</f>
        <v/>
      </c>
      <c r="E50" s="25">
        <f>(D70*(1-1/B50)+E70*(1-1/MIN(C50,D50)))/B70</f>
        <v/>
      </c>
      <c r="F50" s="18">
        <f>E50*(B70+I70)</f>
        <v/>
      </c>
      <c r="G50" s="26">
        <f>F50-F49</f>
        <v/>
      </c>
    </row>
    <row r="51">
      <c r="A51" s="24" t="inlineStr">
        <is>
          <t>+ Fixed-size memory per conversation (lever 4)</t>
        </is>
      </c>
      <c r="B51" s="21">
        <f>SmallerModel^2</f>
        <v/>
      </c>
      <c r="C51" s="23">
        <f>MemoryLever</f>
        <v/>
      </c>
      <c r="D51" s="21">
        <f>SmallerModel</f>
        <v/>
      </c>
      <c r="E51" s="25">
        <f>(D70*(1-1/B51)+E70*(1-1/MIN(C51,D51)))/B70</f>
        <v/>
      </c>
      <c r="F51" s="18">
        <f>E51*(B70+I70)</f>
        <v/>
      </c>
      <c r="G51" s="26">
        <f>F51-F50</f>
        <v/>
      </c>
    </row>
    <row r="52">
      <c r="A52" s="27" t="inlineStr">
        <is>
          <t>+ Many more conversations per GPU (lever 5)</t>
        </is>
      </c>
      <c r="B52" s="21">
        <f>TrainLever</f>
        <v/>
      </c>
      <c r="C52" s="23">
        <f>MemoryLever</f>
        <v/>
      </c>
      <c r="D52" s="21">
        <f>ServeComputeLever</f>
        <v/>
      </c>
      <c r="E52" s="25">
        <f>(D70*(1-1/B52)+E70*(1-1/MIN(C52,D52)))/B70</f>
        <v/>
      </c>
      <c r="F52" s="18">
        <f>E52*(B70+I70)</f>
        <v/>
      </c>
      <c r="G52" s="26">
        <f>F52-F51</f>
        <v/>
      </c>
    </row>
    <row r="55" ht="62" customHeight="1">
      <c r="A55" s="3" t="inlineStr">
        <is>
          <t>Read this as: the smaller model alone removes nearly all of the TRAINING bill (fewer parameters AND fewer tokens compound) but no inference GPUs — at long context a transformer's inference GPUs are full of memory (the growing KV cache), not busy computing, and a smaller model doesn't change that. Fixed-size memory unlocks inference, until compute becomes the limit; many more conversations per GPU lifts that limit. By then ~99% of the chip bill is gone: bigger multiples can't add much, because a cost can only fall to zero once. That is why this workbook reports dollars, not multiples. The order is the storyline; the end point does not depend on it.</t>
        </is>
      </c>
    </row>
    <row r="57">
      <c r="A57" s="4" t="inlineStr">
        <is>
          <t>CROSS-CHECK against the technical Totals tab</t>
        </is>
      </c>
      <c r="B57" s="5" t="n"/>
      <c r="C57" s="5" t="n"/>
      <c r="D57" s="5" t="n"/>
      <c r="E57" s="5" t="n"/>
      <c r="F57" s="5" t="n"/>
      <c r="G57" s="5" t="n"/>
      <c r="H57" s="5" t="n"/>
      <c r="I57" s="5" t="n"/>
    </row>
    <row r="58">
      <c r="A58" s="3" t="inlineStr">
        <is>
          <t>Totals tab, FY2026 spend cut (memory and compute priced separately, ~154×)</t>
        </is>
      </c>
      <c r="B58" s="6">
        <f>Totals!$F$13</f>
        <v/>
      </c>
    </row>
    <row r="59">
      <c r="A59" s="3" t="inlineStr">
        <is>
          <t>This bridge (training on GPU-hours, inference on whole GPUs)</t>
        </is>
      </c>
      <c r="B59" s="6">
        <f>B41</f>
        <v/>
      </c>
    </row>
    <row r="60">
      <c r="A60" s="3" t="inlineStr">
        <is>
          <t>Difference</t>
        </is>
      </c>
      <c r="B60" s="6">
        <f>B59-B58</f>
        <v/>
      </c>
      <c r="D60" s="3" t="inlineStr">
        <is>
          <t>Small by design: both remove ~99% of the chip bill. Totals also honours the Inputs datacenter-scaling toggle (default 0); this bridge counts chips only.</t>
        </is>
      </c>
    </row>
    <row r="62">
      <c r="A62" s="4" t="inlineStr">
        <is>
          <t>DETAIL BY COMPANY — FY2026 (estimate) ($B). The engine behind every number above.</t>
        </is>
      </c>
      <c r="B62" s="5" t="n"/>
      <c r="C62" s="5" t="n"/>
      <c r="D62" s="5" t="n"/>
      <c r="E62" s="5" t="n"/>
      <c r="F62" s="5" t="n"/>
      <c r="G62" s="5" t="n"/>
      <c r="H62" s="5" t="n"/>
      <c r="I62" s="5" t="n"/>
      <c r="J62" s="5" t="n"/>
      <c r="K62" s="5" t="n"/>
      <c r="L62" s="5" t="n"/>
      <c r="M62" s="5" t="n"/>
      <c r="N62" s="5" t="n"/>
      <c r="O62" s="5" t="n"/>
      <c r="P62" s="5" t="n"/>
      <c r="Q62" s="5" t="n"/>
    </row>
    <row r="63" ht="32" customHeight="1">
      <c r="A63" s="16" t="inlineStr">
        <is>
          <t>Company</t>
        </is>
      </c>
      <c r="B63" s="16" t="inlineStr">
        <is>
          <t>AI-chip capex</t>
        </is>
      </c>
      <c r="C63" s="16" t="inlineStr">
        <is>
          <t>Training share</t>
        </is>
      </c>
      <c r="D63" s="16" t="inlineStr">
        <is>
          <t>Training fleet</t>
        </is>
      </c>
      <c r="E63" s="16" t="inlineStr">
        <is>
          <t>Inference fleet</t>
        </is>
      </c>
      <c r="F63" s="16" t="inlineStr">
        <is>
          <t>Training capex avoided</t>
        </is>
      </c>
      <c r="G63" s="16" t="inlineStr">
        <is>
          <t>Inference capex avoided</t>
        </is>
      </c>
      <c r="H63" s="16" t="inlineStr">
        <is>
          <t>Chip capex avoided</t>
        </is>
      </c>
      <c r="I63" s="16" t="inlineStr">
        <is>
          <t>Power &amp; ops today</t>
        </is>
      </c>
      <c r="J63" s="16" t="inlineStr">
        <is>
          <t>Training power saved</t>
        </is>
      </c>
      <c r="K63" s="16" t="inlineStr">
        <is>
          <t>Inference power saved</t>
        </is>
      </c>
      <c r="L63" s="16" t="inlineStr">
        <is>
          <t>TOTAL spend cut</t>
        </is>
      </c>
      <c r="M63" s="16" t="inlineStr">
        <is>
          <t>AI spend (capex + power)</t>
        </is>
      </c>
      <c r="N63" s="16" t="inlineStr">
        <is>
          <t>% of AI spend cut</t>
        </is>
      </c>
      <c r="O63" s="16" t="inlineStr">
        <is>
          <t>AI revenue</t>
        </is>
      </c>
      <c r="P63" s="16" t="inlineStr">
        <is>
          <t>Net AI today</t>
        </is>
      </c>
      <c r="Q63" s="16" t="inlineStr">
        <is>
          <t>Net AI with Helarctos</t>
        </is>
      </c>
    </row>
    <row r="64">
      <c r="A64" s="17" t="inlineStr">
        <is>
          <t>Microsoft</t>
        </is>
      </c>
      <c r="B64" s="6">
        <f>'Microsoft'!$C$12</f>
        <v/>
      </c>
      <c r="C64" s="14">
        <f>Levers!$C$22</f>
        <v/>
      </c>
      <c r="D64" s="6">
        <f>B64*C64</f>
        <v/>
      </c>
      <c r="E64" s="6">
        <f>B64-D64</f>
        <v/>
      </c>
      <c r="F64" s="6">
        <f>D64*(1-1/TrainLever)</f>
        <v/>
      </c>
      <c r="G64" s="6">
        <f>E64*(1-1/ServeGPULever)</f>
        <v/>
      </c>
      <c r="H64" s="6">
        <f>F64+G64</f>
        <v/>
      </c>
      <c r="I64" s="28">
        <f>'Microsoft'!$C$34</f>
        <v/>
      </c>
      <c r="J64" s="28">
        <f>IF(B64&gt;0,I64*F64/B64,0)</f>
        <v/>
      </c>
      <c r="K64" s="28">
        <f>IF(B64&gt;0,I64*G64/B64,0)</f>
        <v/>
      </c>
      <c r="L64" s="18">
        <f>H64+J64+K64</f>
        <v/>
      </c>
      <c r="M64" s="6">
        <f>'Microsoft'!$C$10+I64</f>
        <v/>
      </c>
      <c r="N64" s="14">
        <f>L64/M64</f>
        <v/>
      </c>
      <c r="O64" s="6">
        <f>'Microsoft'!$C$32</f>
        <v/>
      </c>
      <c r="P64" s="6">
        <f>O64-M64</f>
        <v/>
      </c>
      <c r="Q64" s="18">
        <f>P64+L64</f>
        <v/>
      </c>
    </row>
    <row r="65">
      <c r="A65" s="17" t="inlineStr">
        <is>
          <t>Alphabet</t>
        </is>
      </c>
      <c r="B65" s="6">
        <f>'Alphabet'!$C$12</f>
        <v/>
      </c>
      <c r="C65" s="14">
        <f>Levers!$C$23</f>
        <v/>
      </c>
      <c r="D65" s="6">
        <f>B65*C65</f>
        <v/>
      </c>
      <c r="E65" s="6">
        <f>B65-D65</f>
        <v/>
      </c>
      <c r="F65" s="6">
        <f>D65*(1-1/TrainLever)</f>
        <v/>
      </c>
      <c r="G65" s="6">
        <f>E65*(1-1/ServeGPULever)</f>
        <v/>
      </c>
      <c r="H65" s="6">
        <f>F65+G65</f>
        <v/>
      </c>
      <c r="I65" s="28">
        <f>'Alphabet'!$C$34</f>
        <v/>
      </c>
      <c r="J65" s="28">
        <f>IF(B65&gt;0,I65*F65/B65,0)</f>
        <v/>
      </c>
      <c r="K65" s="28">
        <f>IF(B65&gt;0,I65*G65/B65,0)</f>
        <v/>
      </c>
      <c r="L65" s="18">
        <f>H65+J65+K65</f>
        <v/>
      </c>
      <c r="M65" s="6">
        <f>'Alphabet'!$C$10+I65</f>
        <v/>
      </c>
      <c r="N65" s="14">
        <f>L65/M65</f>
        <v/>
      </c>
      <c r="O65" s="6">
        <f>'Alphabet'!$C$32</f>
        <v/>
      </c>
      <c r="P65" s="6">
        <f>O65-M65</f>
        <v/>
      </c>
      <c r="Q65" s="18">
        <f>P65+L65</f>
        <v/>
      </c>
    </row>
    <row r="66">
      <c r="A66" s="17" t="inlineStr">
        <is>
          <t>Amazon</t>
        </is>
      </c>
      <c r="B66" s="6">
        <f>'Amazon'!$C$12</f>
        <v/>
      </c>
      <c r="C66" s="14">
        <f>Levers!$C$24</f>
        <v/>
      </c>
      <c r="D66" s="6">
        <f>B66*C66</f>
        <v/>
      </c>
      <c r="E66" s="6">
        <f>B66-D66</f>
        <v/>
      </c>
      <c r="F66" s="6">
        <f>D66*(1-1/TrainLever)</f>
        <v/>
      </c>
      <c r="G66" s="6">
        <f>E66*(1-1/ServeGPULever)</f>
        <v/>
      </c>
      <c r="H66" s="6">
        <f>F66+G66</f>
        <v/>
      </c>
      <c r="I66" s="28">
        <f>'Amazon'!$C$34</f>
        <v/>
      </c>
      <c r="J66" s="28">
        <f>IF(B66&gt;0,I66*F66/B66,0)</f>
        <v/>
      </c>
      <c r="K66" s="28">
        <f>IF(B66&gt;0,I66*G66/B66,0)</f>
        <v/>
      </c>
      <c r="L66" s="18">
        <f>H66+J66+K66</f>
        <v/>
      </c>
      <c r="M66" s="6">
        <f>'Amazon'!$C$10+I66</f>
        <v/>
      </c>
      <c r="N66" s="14">
        <f>L66/M66</f>
        <v/>
      </c>
      <c r="O66" s="6">
        <f>'Amazon'!$C$32</f>
        <v/>
      </c>
      <c r="P66" s="6">
        <f>O66-M66</f>
        <v/>
      </c>
      <c r="Q66" s="18">
        <f>P66+L66</f>
        <v/>
      </c>
    </row>
    <row r="67">
      <c r="A67" s="17" t="inlineStr">
        <is>
          <t>Meta</t>
        </is>
      </c>
      <c r="B67" s="6">
        <f>'Meta'!$C$12</f>
        <v/>
      </c>
      <c r="C67" s="14">
        <f>Levers!$C$25</f>
        <v/>
      </c>
      <c r="D67" s="6">
        <f>B67*C67</f>
        <v/>
      </c>
      <c r="E67" s="6">
        <f>B67-D67</f>
        <v/>
      </c>
      <c r="F67" s="6">
        <f>D67*(1-1/TrainLever)</f>
        <v/>
      </c>
      <c r="G67" s="6">
        <f>E67*(1-1/ServeGPULever)</f>
        <v/>
      </c>
      <c r="H67" s="6">
        <f>F67+G67</f>
        <v/>
      </c>
      <c r="I67" s="28">
        <f>'Meta'!$C$34</f>
        <v/>
      </c>
      <c r="J67" s="28">
        <f>IF(B67&gt;0,I67*F67/B67,0)</f>
        <v/>
      </c>
      <c r="K67" s="28">
        <f>IF(B67&gt;0,I67*G67/B67,0)</f>
        <v/>
      </c>
      <c r="L67" s="18">
        <f>H67+J67+K67</f>
        <v/>
      </c>
      <c r="M67" s="6">
        <f>'Meta'!$C$10+I67</f>
        <v/>
      </c>
      <c r="N67" s="14">
        <f>L67/M67</f>
        <v/>
      </c>
      <c r="O67" s="6">
        <f>'Meta'!$C$32</f>
        <v/>
      </c>
      <c r="P67" s="6">
        <f>O67-M67</f>
        <v/>
      </c>
      <c r="Q67" s="18">
        <f>P67+L67</f>
        <v/>
      </c>
    </row>
    <row r="68">
      <c r="A68" s="17" t="inlineStr">
        <is>
          <t>Oracle</t>
        </is>
      </c>
      <c r="B68" s="6">
        <f>'Oracle'!$C$12</f>
        <v/>
      </c>
      <c r="C68" s="14">
        <f>Levers!$C$26</f>
        <v/>
      </c>
      <c r="D68" s="6">
        <f>B68*C68</f>
        <v/>
      </c>
      <c r="E68" s="6">
        <f>B68-D68</f>
        <v/>
      </c>
      <c r="F68" s="6">
        <f>D68*(1-1/TrainLever)</f>
        <v/>
      </c>
      <c r="G68" s="6">
        <f>E68*(1-1/ServeGPULever)</f>
        <v/>
      </c>
      <c r="H68" s="6">
        <f>F68+G68</f>
        <v/>
      </c>
      <c r="I68" s="28">
        <f>'Oracle'!$C$34</f>
        <v/>
      </c>
      <c r="J68" s="28">
        <f>IF(B68&gt;0,I68*F68/B68,0)</f>
        <v/>
      </c>
      <c r="K68" s="28">
        <f>IF(B68&gt;0,I68*G68/B68,0)</f>
        <v/>
      </c>
      <c r="L68" s="18">
        <f>H68+J68+K68</f>
        <v/>
      </c>
      <c r="M68" s="6">
        <f>'Oracle'!$C$10+I68</f>
        <v/>
      </c>
      <c r="N68" s="14">
        <f>L68/M68</f>
        <v/>
      </c>
      <c r="O68" s="6">
        <f>'Oracle'!$C$32</f>
        <v/>
      </c>
      <c r="P68" s="6">
        <f>O68-M68</f>
        <v/>
      </c>
      <c r="Q68" s="18">
        <f>P68+L68</f>
        <v/>
      </c>
    </row>
    <row r="69">
      <c r="A69" s="17" t="inlineStr">
        <is>
          <t>SpaceX</t>
        </is>
      </c>
      <c r="B69" s="6">
        <f>'SpaceX'!$C$12</f>
        <v/>
      </c>
      <c r="C69" s="14">
        <f>Levers!$C$27</f>
        <v/>
      </c>
      <c r="D69" s="6">
        <f>B69*C69</f>
        <v/>
      </c>
      <c r="E69" s="6">
        <f>B69-D69</f>
        <v/>
      </c>
      <c r="F69" s="6">
        <f>D69*(1-1/TrainLever)</f>
        <v/>
      </c>
      <c r="G69" s="6">
        <f>E69*(1-1/ServeGPULever)</f>
        <v/>
      </c>
      <c r="H69" s="6">
        <f>F69+G69</f>
        <v/>
      </c>
      <c r="I69" s="28">
        <f>'SpaceX'!$C$34</f>
        <v/>
      </c>
      <c r="J69" s="28">
        <f>IF(B69&gt;0,I69*F69/B69,0)</f>
        <v/>
      </c>
      <c r="K69" s="28">
        <f>IF(B69&gt;0,I69*G69/B69,0)</f>
        <v/>
      </c>
      <c r="L69" s="18">
        <f>H69+J69+K69</f>
        <v/>
      </c>
      <c r="M69" s="6">
        <f>'SpaceX'!$C$10+I69</f>
        <v/>
      </c>
      <c r="N69" s="14">
        <f>L69/M69</f>
        <v/>
      </c>
      <c r="O69" s="6">
        <f>'SpaceX'!$C$32</f>
        <v/>
      </c>
      <c r="P69" s="6">
        <f>O69-M69</f>
        <v/>
      </c>
      <c r="Q69" s="18">
        <f>P69+L69</f>
        <v/>
      </c>
    </row>
    <row r="70">
      <c r="A70" s="11" t="inlineStr">
        <is>
          <t>TOTAL (6)</t>
        </is>
      </c>
      <c r="B70" s="18">
        <f>SUM(B64:B69)</f>
        <v/>
      </c>
      <c r="C70" s="19">
        <f>D70/B70</f>
        <v/>
      </c>
      <c r="D70" s="18">
        <f>SUM(D64:D69)</f>
        <v/>
      </c>
      <c r="E70" s="18">
        <f>SUM(E64:E69)</f>
        <v/>
      </c>
      <c r="F70" s="18">
        <f>SUM(F64:F69)</f>
        <v/>
      </c>
      <c r="G70" s="18">
        <f>SUM(G64:G69)</f>
        <v/>
      </c>
      <c r="H70" s="18">
        <f>SUM(H64:H69)</f>
        <v/>
      </c>
      <c r="I70" s="29">
        <f>SUM(I64:I69)</f>
        <v/>
      </c>
      <c r="J70" s="29">
        <f>SUM(J64:J69)</f>
        <v/>
      </c>
      <c r="K70" s="29">
        <f>SUM(K64:K69)</f>
        <v/>
      </c>
      <c r="L70" s="18">
        <f>SUM(L64:L69)</f>
        <v/>
      </c>
      <c r="M70" s="18">
        <f>SUM(M64:M69)</f>
        <v/>
      </c>
      <c r="N70" s="19">
        <f>L70/M70</f>
        <v/>
      </c>
      <c r="O70" s="18">
        <f>SUM(O64:O69)</f>
        <v/>
      </c>
      <c r="P70" s="18">
        <f>SUM(P64:P69)</f>
        <v/>
      </c>
      <c r="Q70" s="18">
        <f>SUM(Q64:Q69)</f>
        <v/>
      </c>
    </row>
    <row r="73">
      <c r="A73" s="4" t="inlineStr">
        <is>
          <t>DETAIL BY COMPANY — FY2025 (actual) ($B). The engine behind every number above.</t>
        </is>
      </c>
      <c r="B73" s="5" t="n"/>
      <c r="C73" s="5" t="n"/>
      <c r="D73" s="5" t="n"/>
      <c r="E73" s="5" t="n"/>
      <c r="F73" s="5" t="n"/>
      <c r="G73" s="5" t="n"/>
      <c r="H73" s="5" t="n"/>
      <c r="I73" s="5" t="n"/>
      <c r="J73" s="5" t="n"/>
      <c r="K73" s="5" t="n"/>
      <c r="L73" s="5" t="n"/>
      <c r="M73" s="5" t="n"/>
      <c r="N73" s="5" t="n"/>
      <c r="O73" s="5" t="n"/>
      <c r="P73" s="5" t="n"/>
      <c r="Q73" s="5" t="n"/>
    </row>
    <row r="74" ht="32" customHeight="1">
      <c r="A74" s="16" t="inlineStr">
        <is>
          <t>Company</t>
        </is>
      </c>
      <c r="B74" s="16" t="inlineStr">
        <is>
          <t>AI-chip capex</t>
        </is>
      </c>
      <c r="C74" s="16" t="inlineStr">
        <is>
          <t>Training share</t>
        </is>
      </c>
      <c r="D74" s="16" t="inlineStr">
        <is>
          <t>Training fleet</t>
        </is>
      </c>
      <c r="E74" s="16" t="inlineStr">
        <is>
          <t>Inference fleet</t>
        </is>
      </c>
      <c r="F74" s="16" t="inlineStr">
        <is>
          <t>Training capex avoided</t>
        </is>
      </c>
      <c r="G74" s="16" t="inlineStr">
        <is>
          <t>Inference capex avoided</t>
        </is>
      </c>
      <c r="H74" s="16" t="inlineStr">
        <is>
          <t>Chip capex avoided</t>
        </is>
      </c>
      <c r="I74" s="16" t="inlineStr">
        <is>
          <t>Power &amp; ops today</t>
        </is>
      </c>
      <c r="J74" s="16" t="inlineStr">
        <is>
          <t>Training power saved</t>
        </is>
      </c>
      <c r="K74" s="16" t="inlineStr">
        <is>
          <t>Inference power saved</t>
        </is>
      </c>
      <c r="L74" s="16" t="inlineStr">
        <is>
          <t>TOTAL spend cut</t>
        </is>
      </c>
      <c r="M74" s="16" t="inlineStr">
        <is>
          <t>AI spend (capex + power)</t>
        </is>
      </c>
      <c r="N74" s="16" t="inlineStr">
        <is>
          <t>% of AI spend cut</t>
        </is>
      </c>
      <c r="O74" s="16" t="inlineStr">
        <is>
          <t>AI revenue</t>
        </is>
      </c>
      <c r="P74" s="16" t="inlineStr">
        <is>
          <t>Net AI today</t>
        </is>
      </c>
      <c r="Q74" s="16" t="inlineStr">
        <is>
          <t>Net AI with Helarctos</t>
        </is>
      </c>
    </row>
    <row r="75">
      <c r="A75" s="17" t="inlineStr">
        <is>
          <t>Microsoft</t>
        </is>
      </c>
      <c r="B75" s="6">
        <f>'Microsoft'!$B$12</f>
        <v/>
      </c>
      <c r="C75" s="14">
        <f>Levers!$C$22</f>
        <v/>
      </c>
      <c r="D75" s="6">
        <f>B75*C75</f>
        <v/>
      </c>
      <c r="E75" s="6">
        <f>B75-D75</f>
        <v/>
      </c>
      <c r="F75" s="6">
        <f>D75*(1-1/TrainLever)</f>
        <v/>
      </c>
      <c r="G75" s="6">
        <f>E75*(1-1/ServeGPULever)</f>
        <v/>
      </c>
      <c r="H75" s="6">
        <f>F75+G75</f>
        <v/>
      </c>
      <c r="I75" s="28">
        <f>'Microsoft'!$B$34</f>
        <v/>
      </c>
      <c r="J75" s="28">
        <f>IF(B75&gt;0,I75*F75/B75,0)</f>
        <v/>
      </c>
      <c r="K75" s="28">
        <f>IF(B75&gt;0,I75*G75/B75,0)</f>
        <v/>
      </c>
      <c r="L75" s="18">
        <f>H75+J75+K75</f>
        <v/>
      </c>
      <c r="M75" s="6">
        <f>'Microsoft'!$B$10+I75</f>
        <v/>
      </c>
      <c r="N75" s="14">
        <f>L75/M75</f>
        <v/>
      </c>
      <c r="O75" s="6">
        <f>'Microsoft'!$B$32</f>
        <v/>
      </c>
      <c r="P75" s="6">
        <f>O75-M75</f>
        <v/>
      </c>
      <c r="Q75" s="18">
        <f>P75+L75</f>
        <v/>
      </c>
    </row>
    <row r="76">
      <c r="A76" s="17" t="inlineStr">
        <is>
          <t>Alphabet</t>
        </is>
      </c>
      <c r="B76" s="6">
        <f>'Alphabet'!$B$12</f>
        <v/>
      </c>
      <c r="C76" s="14">
        <f>Levers!$C$23</f>
        <v/>
      </c>
      <c r="D76" s="6">
        <f>B76*C76</f>
        <v/>
      </c>
      <c r="E76" s="6">
        <f>B76-D76</f>
        <v/>
      </c>
      <c r="F76" s="6">
        <f>D76*(1-1/TrainLever)</f>
        <v/>
      </c>
      <c r="G76" s="6">
        <f>E76*(1-1/ServeGPULever)</f>
        <v/>
      </c>
      <c r="H76" s="6">
        <f>F76+G76</f>
        <v/>
      </c>
      <c r="I76" s="28">
        <f>'Alphabet'!$B$34</f>
        <v/>
      </c>
      <c r="J76" s="28">
        <f>IF(B76&gt;0,I76*F76/B76,0)</f>
        <v/>
      </c>
      <c r="K76" s="28">
        <f>IF(B76&gt;0,I76*G76/B76,0)</f>
        <v/>
      </c>
      <c r="L76" s="18">
        <f>H76+J76+K76</f>
        <v/>
      </c>
      <c r="M76" s="6">
        <f>'Alphabet'!$B$10+I76</f>
        <v/>
      </c>
      <c r="N76" s="14">
        <f>L76/M76</f>
        <v/>
      </c>
      <c r="O76" s="6">
        <f>'Alphabet'!$B$32</f>
        <v/>
      </c>
      <c r="P76" s="6">
        <f>O76-M76</f>
        <v/>
      </c>
      <c r="Q76" s="18">
        <f>P76+L76</f>
        <v/>
      </c>
    </row>
    <row r="77">
      <c r="A77" s="17" t="inlineStr">
        <is>
          <t>Amazon</t>
        </is>
      </c>
      <c r="B77" s="6">
        <f>'Amazon'!$B$12</f>
        <v/>
      </c>
      <c r="C77" s="14">
        <f>Levers!$C$24</f>
        <v/>
      </c>
      <c r="D77" s="6">
        <f>B77*C77</f>
        <v/>
      </c>
      <c r="E77" s="6">
        <f>B77-D77</f>
        <v/>
      </c>
      <c r="F77" s="6">
        <f>D77*(1-1/TrainLever)</f>
        <v/>
      </c>
      <c r="G77" s="6">
        <f>E77*(1-1/ServeGPULever)</f>
        <v/>
      </c>
      <c r="H77" s="6">
        <f>F77+G77</f>
        <v/>
      </c>
      <c r="I77" s="28">
        <f>'Amazon'!$B$34</f>
        <v/>
      </c>
      <c r="J77" s="28">
        <f>IF(B77&gt;0,I77*F77/B77,0)</f>
        <v/>
      </c>
      <c r="K77" s="28">
        <f>IF(B77&gt;0,I77*G77/B77,0)</f>
        <v/>
      </c>
      <c r="L77" s="18">
        <f>H77+J77+K77</f>
        <v/>
      </c>
      <c r="M77" s="6">
        <f>'Amazon'!$B$10+I77</f>
        <v/>
      </c>
      <c r="N77" s="14">
        <f>L77/M77</f>
        <v/>
      </c>
      <c r="O77" s="6">
        <f>'Amazon'!$B$32</f>
        <v/>
      </c>
      <c r="P77" s="6">
        <f>O77-M77</f>
        <v/>
      </c>
      <c r="Q77" s="18">
        <f>P77+L77</f>
        <v/>
      </c>
    </row>
    <row r="78">
      <c r="A78" s="17" t="inlineStr">
        <is>
          <t>Meta</t>
        </is>
      </c>
      <c r="B78" s="6">
        <f>'Meta'!$B$12</f>
        <v/>
      </c>
      <c r="C78" s="14">
        <f>Levers!$C$25</f>
        <v/>
      </c>
      <c r="D78" s="6">
        <f>B78*C78</f>
        <v/>
      </c>
      <c r="E78" s="6">
        <f>B78-D78</f>
        <v/>
      </c>
      <c r="F78" s="6">
        <f>D78*(1-1/TrainLever)</f>
        <v/>
      </c>
      <c r="G78" s="6">
        <f>E78*(1-1/ServeGPULever)</f>
        <v/>
      </c>
      <c r="H78" s="6">
        <f>F78+G78</f>
        <v/>
      </c>
      <c r="I78" s="28">
        <f>'Meta'!$B$34</f>
        <v/>
      </c>
      <c r="J78" s="28">
        <f>IF(B78&gt;0,I78*F78/B78,0)</f>
        <v/>
      </c>
      <c r="K78" s="28">
        <f>IF(B78&gt;0,I78*G78/B78,0)</f>
        <v/>
      </c>
      <c r="L78" s="18">
        <f>H78+J78+K78</f>
        <v/>
      </c>
      <c r="M78" s="6">
        <f>'Meta'!$B$10+I78</f>
        <v/>
      </c>
      <c r="N78" s="14">
        <f>L78/M78</f>
        <v/>
      </c>
      <c r="O78" s="6">
        <f>'Meta'!$B$32</f>
        <v/>
      </c>
      <c r="P78" s="6">
        <f>O78-M78</f>
        <v/>
      </c>
      <c r="Q78" s="18">
        <f>P78+L78</f>
        <v/>
      </c>
    </row>
    <row r="79">
      <c r="A79" s="17" t="inlineStr">
        <is>
          <t>Oracle</t>
        </is>
      </c>
      <c r="B79" s="6">
        <f>'Oracle'!$B$12</f>
        <v/>
      </c>
      <c r="C79" s="14">
        <f>Levers!$C$26</f>
        <v/>
      </c>
      <c r="D79" s="6">
        <f>B79*C79</f>
        <v/>
      </c>
      <c r="E79" s="6">
        <f>B79-D79</f>
        <v/>
      </c>
      <c r="F79" s="6">
        <f>D79*(1-1/TrainLever)</f>
        <v/>
      </c>
      <c r="G79" s="6">
        <f>E79*(1-1/ServeGPULever)</f>
        <v/>
      </c>
      <c r="H79" s="6">
        <f>F79+G79</f>
        <v/>
      </c>
      <c r="I79" s="28">
        <f>'Oracle'!$B$34</f>
        <v/>
      </c>
      <c r="J79" s="28">
        <f>IF(B79&gt;0,I79*F79/B79,0)</f>
        <v/>
      </c>
      <c r="K79" s="28">
        <f>IF(B79&gt;0,I79*G79/B79,0)</f>
        <v/>
      </c>
      <c r="L79" s="18">
        <f>H79+J79+K79</f>
        <v/>
      </c>
      <c r="M79" s="6">
        <f>'Oracle'!$B$10+I79</f>
        <v/>
      </c>
      <c r="N79" s="14">
        <f>L79/M79</f>
        <v/>
      </c>
      <c r="O79" s="6">
        <f>'Oracle'!$B$32</f>
        <v/>
      </c>
      <c r="P79" s="6">
        <f>O79-M79</f>
        <v/>
      </c>
      <c r="Q79" s="18">
        <f>P79+L79</f>
        <v/>
      </c>
    </row>
    <row r="80">
      <c r="A80" s="17" t="inlineStr">
        <is>
          <t>SpaceX</t>
        </is>
      </c>
      <c r="B80" s="6">
        <f>'SpaceX'!$B$12</f>
        <v/>
      </c>
      <c r="C80" s="14">
        <f>Levers!$C$27</f>
        <v/>
      </c>
      <c r="D80" s="6">
        <f>B80*C80</f>
        <v/>
      </c>
      <c r="E80" s="6">
        <f>B80-D80</f>
        <v/>
      </c>
      <c r="F80" s="6">
        <f>D80*(1-1/TrainLever)</f>
        <v/>
      </c>
      <c r="G80" s="6">
        <f>E80*(1-1/ServeGPULever)</f>
        <v/>
      </c>
      <c r="H80" s="6">
        <f>F80+G80</f>
        <v/>
      </c>
      <c r="I80" s="28">
        <f>'SpaceX'!$B$34</f>
        <v/>
      </c>
      <c r="J80" s="28">
        <f>IF(B80&gt;0,I80*F80/B80,0)</f>
        <v/>
      </c>
      <c r="K80" s="28">
        <f>IF(B80&gt;0,I80*G80/B80,0)</f>
        <v/>
      </c>
      <c r="L80" s="18">
        <f>H80+J80+K80</f>
        <v/>
      </c>
      <c r="M80" s="6">
        <f>'SpaceX'!$B$10+I80</f>
        <v/>
      </c>
      <c r="N80" s="14">
        <f>L80/M80</f>
        <v/>
      </c>
      <c r="O80" s="6">
        <f>'SpaceX'!$B$32</f>
        <v/>
      </c>
      <c r="P80" s="6">
        <f>O80-M80</f>
        <v/>
      </c>
      <c r="Q80" s="18">
        <f>P80+L80</f>
        <v/>
      </c>
    </row>
    <row r="81">
      <c r="A81" s="11" t="inlineStr">
        <is>
          <t>TOTAL (6)</t>
        </is>
      </c>
      <c r="B81" s="18">
        <f>SUM(B75:B80)</f>
        <v/>
      </c>
      <c r="C81" s="19">
        <f>D81/B81</f>
        <v/>
      </c>
      <c r="D81" s="18">
        <f>SUM(D75:D80)</f>
        <v/>
      </c>
      <c r="E81" s="18">
        <f>SUM(E75:E80)</f>
        <v/>
      </c>
      <c r="F81" s="18">
        <f>SUM(F75:F80)</f>
        <v/>
      </c>
      <c r="G81" s="18">
        <f>SUM(G75:G80)</f>
        <v/>
      </c>
      <c r="H81" s="18">
        <f>SUM(H75:H80)</f>
        <v/>
      </c>
      <c r="I81" s="29">
        <f>SUM(I75:I80)</f>
        <v/>
      </c>
      <c r="J81" s="29">
        <f>SUM(J75:J80)</f>
        <v/>
      </c>
      <c r="K81" s="29">
        <f>SUM(K75:K80)</f>
        <v/>
      </c>
      <c r="L81" s="18">
        <f>SUM(L75:L80)</f>
        <v/>
      </c>
      <c r="M81" s="18">
        <f>SUM(M75:M80)</f>
        <v/>
      </c>
      <c r="N81" s="19">
        <f>L81/M81</f>
        <v/>
      </c>
      <c r="O81" s="18">
        <f>SUM(O75:O80)</f>
        <v/>
      </c>
      <c r="P81" s="18">
        <f>SUM(P75:P80)</f>
        <v/>
      </c>
      <c r="Q81" s="18">
        <f>SUM(Q75:Q80)</f>
        <v/>
      </c>
    </row>
  </sheetData>
  <mergeCells count="22">
    <mergeCell ref="D13:I13"/>
    <mergeCell ref="D32:I32"/>
    <mergeCell ref="D41:I41"/>
    <mergeCell ref="A55:I55"/>
    <mergeCell ref="A26:I26"/>
    <mergeCell ref="D7:I7"/>
    <mergeCell ref="A2:I2"/>
    <mergeCell ref="D18:I18"/>
    <mergeCell ref="D9:I9"/>
    <mergeCell ref="D30:I30"/>
    <mergeCell ref="D24:I24"/>
    <mergeCell ref="D5:I5"/>
    <mergeCell ref="D35:I35"/>
    <mergeCell ref="D20:I20"/>
    <mergeCell ref="D60:I60"/>
    <mergeCell ref="D19:I19"/>
    <mergeCell ref="D10:I10"/>
    <mergeCell ref="D31:I31"/>
    <mergeCell ref="D45:I45"/>
    <mergeCell ref="D36:I36"/>
    <mergeCell ref="D6:I6"/>
    <mergeCell ref="D21:I2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0B2545"/>
    <outlinePr summaryBelow="1" summaryRight="1"/>
    <pageSetUpPr/>
  </sheetPr>
  <dimension ref="A1:H34"/>
  <sheetViews>
    <sheetView workbookViewId="0">
      <pane ySplit="6" topLeftCell="A7" activePane="bottomLeft" state="frozen"/>
      <selection pane="bottomLeft" activeCell="A1" sqref="A1"/>
    </sheetView>
  </sheetViews>
  <sheetFormatPr baseColWidth="8" defaultRowHeight="15"/>
  <cols>
    <col width="4" customWidth="1" min="1" max="1"/>
    <col width="40" customWidth="1" min="2" max="2"/>
    <col width="12" customWidth="1" min="3" max="3"/>
    <col width="12" customWidth="1" min="4" max="4"/>
    <col width="14" customWidth="1" min="5" max="5"/>
    <col width="24" customWidth="1" min="6" max="6"/>
    <col width="72" customWidth="1" min="7" max="7"/>
    <col width="28" customWidth="1" min="8" max="8"/>
  </cols>
  <sheetData>
    <row r="1" ht="30" customHeight="1">
      <c r="A1" s="1" t="inlineStr">
        <is>
          <t>HELARCTOS LEVERS — the five things our architecture changes, in plain English</t>
        </is>
      </c>
      <c r="B1" s="2" t="n"/>
      <c r="C1" s="2" t="n"/>
      <c r="D1" s="2" t="n"/>
      <c r="E1" s="2" t="n"/>
      <c r="F1" s="2" t="n"/>
      <c r="G1" s="2" t="n"/>
      <c r="H1" s="2" t="n"/>
    </row>
    <row r="2" ht="48" customHeight="1">
      <c r="A2" s="3" t="inlineStr">
        <is>
          <t>Every dollar in this workbook comes from five levers. Each is shown with its value, how sure we are of it (MEASURED on our hardware runs, PROJECTED from measured trends, or an ESTIMATE / TARGET awaiting measurement), what it means, and which part of the AI bill it shrinks. Blue cells are linked to the technical Inputs tab; yellow cells are assumptions you can edit.</t>
        </is>
      </c>
    </row>
    <row r="4" ht="32" customHeight="1">
      <c r="B4" s="7" t="inlineStr">
        <is>
          <t>Scenario (pick from the list)</t>
        </is>
      </c>
      <c r="C4" s="30" t="inlineStr">
        <is>
          <t>Today</t>
        </is>
      </c>
      <c r="D4" s="3" t="inlineStr">
        <is>
          <t>Today = the software kernels we have already built and measured. Optimized kernels = our funded kernel programme lands (a TARGET, not yet measured). The dollars differ by under 1%.</t>
        </is>
      </c>
    </row>
    <row r="6">
      <c r="A6" s="16" t="inlineStr">
        <is>
          <t>#</t>
        </is>
      </c>
      <c r="B6" s="16" t="inlineStr">
        <is>
          <t>Lever</t>
        </is>
      </c>
      <c r="C6" s="16" t="inlineStr">
        <is>
          <t>Active</t>
        </is>
      </c>
      <c r="D6" s="16" t="inlineStr">
        <is>
          <t>Today</t>
        </is>
      </c>
      <c r="E6" s="16" t="inlineStr">
        <is>
          <t>Optimized kernels</t>
        </is>
      </c>
      <c r="F6" s="16" t="inlineStr">
        <is>
          <t>How sure are we?</t>
        </is>
      </c>
      <c r="G6" s="16" t="inlineStr">
        <is>
          <t>What it means</t>
        </is>
      </c>
      <c r="H6" s="16" t="inlineStr">
        <is>
          <t>Where it saves money</t>
        </is>
      </c>
    </row>
    <row r="7" ht="78" customHeight="1">
      <c r="A7" s="17" t="inlineStr">
        <is>
          <t>1</t>
        </is>
      </c>
      <c r="B7" s="27" t="inlineStr">
        <is>
          <t>Smaller model for the same quality</t>
        </is>
      </c>
      <c r="C7" s="22">
        <f>IF(Scenario="Today",D7,E7)</f>
        <v/>
      </c>
      <c r="D7" s="21">
        <f>Inputs!$B$23</f>
        <v/>
      </c>
      <c r="E7" s="21">
        <f>Inputs!$B$23</f>
        <v/>
      </c>
      <c r="F7" s="24" t="inlineStr">
        <is>
          <t>PROJECTED — trend fitted on models we trained (47M–663M parameters), extended to frontier scale</t>
        </is>
      </c>
      <c r="G7" s="24" t="inlineStr">
        <is>
          <t>We measured how quality improves with size for both architectures. Extending both trends, a Helarctos model matches a 1-trillion-parameter transformer with ~24% of the parameters — 4.2× fewer numbers to store, update and run.</t>
        </is>
      </c>
      <c r="H7" s="24" t="inlineStr">
        <is>
          <t>Training and inference compute</t>
        </is>
      </c>
    </row>
    <row r="8" ht="78" customHeight="1">
      <c r="A8" s="17" t="inlineStr">
        <is>
          <t>2</t>
        </is>
      </c>
      <c r="B8" s="27" t="inlineStr">
        <is>
          <t>Fewer training tokens needed</t>
        </is>
      </c>
      <c r="C8" s="22">
        <f>IF(Scenario="Today",D8,E8)</f>
        <v/>
      </c>
      <c r="D8" s="21">
        <f>D7</f>
        <v/>
      </c>
      <c r="E8" s="21">
        <f>E7</f>
        <v/>
      </c>
      <c r="F8" s="24" t="inlineStr">
        <is>
          <t>PROJECTED — standard compute-optimal scaling (training data grows in step with model size)</t>
        </is>
      </c>
      <c r="G8" s="24" t="inlineStr">
        <is>
          <t>Frontier labs train each model on data in proportion to its size. A model 4.2× smaller reaches its best quality on ~4.2× fewer tokens.</t>
        </is>
      </c>
      <c r="H8" s="24" t="inlineStr">
        <is>
          <t>Training</t>
        </is>
      </c>
    </row>
    <row r="9" ht="78" customHeight="1">
      <c r="A9" s="17" t="inlineStr">
        <is>
          <t>3</t>
        </is>
      </c>
      <c r="B9" s="27" t="inlineStr">
        <is>
          <t>Training speed per token (same model size)</t>
        </is>
      </c>
      <c r="C9" s="22">
        <f>IF(Scenario="Today",D9,E9)</f>
        <v/>
      </c>
      <c r="D9" s="31" t="n">
        <v>1</v>
      </c>
      <c r="E9" s="31" t="n">
        <v>1</v>
      </c>
      <c r="F9" s="24" t="inlineStr">
        <is>
          <t>ASSUMPTION — roughly comparable to a transformer; no speed credit taken</t>
        </is>
      </c>
      <c r="G9" s="24" t="inlineStr">
        <is>
          <t>At the same model size, Helarctos trains at roughly the same speed per token as a transformer, so we count no training speed-up. The training saving comes entirely from levers 1 and 2: a smaller model trained on fewer tokens. (Where Helarctos is much faster is inference — lever 5.)</t>
        </is>
      </c>
      <c r="H9" s="24" t="inlineStr">
        <is>
          <t>Training</t>
        </is>
      </c>
    </row>
    <row r="10" ht="78" customHeight="1">
      <c r="A10" s="17" t="inlineStr">
        <is>
          <t>4</t>
        </is>
      </c>
      <c r="B10" s="27" t="inlineStr">
        <is>
          <t>Memory per live conversation</t>
        </is>
      </c>
      <c r="C10" s="32">
        <f>IF(Scenario="Today",D10,E10)</f>
        <v/>
      </c>
      <c r="D10" s="23">
        <f>Inputs!$B$2</f>
        <v/>
      </c>
      <c r="E10" s="23">
        <f>Inputs!$B$2</f>
        <v/>
      </c>
      <c r="F10" s="24" t="inlineStr">
        <is>
          <t>MEASURED — 2,000× at 262k tokens; we use ÷100 to stay conservative</t>
        </is>
      </c>
      <c r="G10" s="24" t="inlineStr">
        <is>
          <t>A transformer keeps a memory (the 'KV cache') that grows with every token of every live conversation: ~197 KB per token, ~51 GB for one 262k-token conversation. Helarctos keeps a fixed-size state (~25 MB) however long the conversation gets.</t>
        </is>
      </c>
      <c r="H10" s="24" t="inlineStr">
        <is>
          <t>Inference GPUs (the memory limit)</t>
        </is>
      </c>
    </row>
    <row r="11" ht="78" customHeight="1">
      <c r="A11" s="17" t="inlineStr">
        <is>
          <t>5</t>
        </is>
      </c>
      <c r="B11" s="27" t="inlineStr">
        <is>
          <t>More conversations served per GPU</t>
        </is>
      </c>
      <c r="C11" s="22">
        <f>IF(Scenario="Today",D11,E11)</f>
        <v/>
      </c>
      <c r="D11" s="21">
        <f>Inputs!$B$24/Inputs!$B$23</f>
        <v/>
      </c>
      <c r="E11" s="21">
        <f>Inputs!$B$25/Inputs!$B$23</f>
        <v/>
      </c>
      <c r="F11" s="24" t="inlineStr">
        <is>
          <t>ESTIMATE — built on MEASURED concurrency and prompt-processing speed; per-token generation speed is an engineering estimate awaiting measurement</t>
        </is>
      </c>
      <c r="G11" s="24" t="inlineStr">
        <is>
          <t>Small per-conversation memory lets one GPU hold many long conversations at once (64 where a transformer fits 1–2 at 262k), and no growing cache is re-read for each new token. At the same model size: ~12× more tokens per GPU at an 8k-token average context, ~188× at 128k (used here), ~368× at 256k.</t>
        </is>
      </c>
      <c r="H11" s="24" t="inlineStr">
        <is>
          <t>Inference GPUs (the compute limit)</t>
        </is>
      </c>
    </row>
    <row r="13">
      <c r="A13" s="4" t="inlineStr">
        <is>
          <t>HOW THE LEVERS COMBINE — one number per fleet</t>
        </is>
      </c>
      <c r="B13" s="5" t="n"/>
      <c r="C13" s="5" t="n"/>
      <c r="D13" s="5" t="n"/>
      <c r="E13" s="5" t="n"/>
      <c r="F13" s="5" t="n"/>
      <c r="G13" s="5" t="n"/>
      <c r="H13" s="5" t="n"/>
    </row>
    <row r="14" ht="30" customHeight="1">
      <c r="B14" s="27" t="inlineStr">
        <is>
          <t>Training: GPU-hours per training run fall by</t>
        </is>
      </c>
      <c r="C14" s="22">
        <f>SmallerModel*FewerTokens*TrainSpeed</f>
        <v/>
      </c>
      <c r="D14" s="3" t="inlineStr">
        <is>
          <t>lever 1 × lever 2 × lever 3. Training clusters are sized to GPU-hours, so the training fleet can shrink by this much for the same training programme.</t>
        </is>
      </c>
    </row>
    <row r="15" ht="30" customHeight="1">
      <c r="B15" s="27" t="inlineStr">
        <is>
          <t>Inference: memory needed per conversation falls by</t>
        </is>
      </c>
      <c r="C15" s="32">
        <f>MemoryLever</f>
        <v/>
      </c>
      <c r="D15" s="3" t="inlineStr">
        <is>
          <t>lever 4</t>
        </is>
      </c>
    </row>
    <row r="16" ht="30" customHeight="1">
      <c r="B16" s="27" t="inlineStr">
        <is>
          <t>Inference: compute needed per token falls by</t>
        </is>
      </c>
      <c r="C16" s="22">
        <f>SmallerModel*ServeThroughput</f>
        <v/>
      </c>
      <c r="D16" s="3" t="inlineStr">
        <is>
          <t>lever 1 × lever 5</t>
        </is>
      </c>
    </row>
    <row r="17" ht="30" customHeight="1">
      <c r="B17" s="27" t="inlineStr">
        <is>
          <t>Inference: GPUs needed fall by</t>
        </is>
      </c>
      <c r="C17" s="22">
        <f>MIN(MemoryLever,ServeComputeLever)</f>
        <v/>
      </c>
      <c r="D17" s="3" t="inlineStr">
        <is>
          <t>A GPU is bought whole — memory and compute come together. The inference fleet has to cover whichever runs out first, so it shrinks by the SMALLER of the two levers (here the conservative ÷100 memory cap). Multiplying them (100 × 793 = 79,000×) would be wrong.</t>
        </is>
      </c>
    </row>
    <row r="18" ht="30" customHeight="1">
      <c r="B18" s="27" t="inlineStr">
        <is>
          <t>For reference: technical tabs' blended inference cut</t>
        </is>
      </c>
      <c r="C18" s="22">
        <f>Inputs!$B$20</f>
        <v/>
      </c>
      <c r="D18" s="3" t="inlineStr">
        <is>
          <t>The technical appendix (Totals, company tabs) prices memory (~60% of a GPU's cost) and compute (~40%) separately and blends them (~154×). Same chip bill, under $1B apart on FY2026.</t>
        </is>
      </c>
    </row>
    <row r="20">
      <c r="A20" s="4" t="inlineStr">
        <is>
          <t>TRAINING SHARE OF EACH COMPANY'S AI-CHIP FLEET — estimates (no company discloses this)</t>
        </is>
      </c>
      <c r="B20" s="5" t="n"/>
      <c r="C20" s="5" t="n"/>
      <c r="D20" s="5" t="n"/>
      <c r="E20" s="5" t="n"/>
      <c r="F20" s="5" t="n"/>
      <c r="G20" s="5" t="n"/>
      <c r="H20" s="5" t="n"/>
    </row>
    <row r="21" ht="30" customHeight="1">
      <c r="A21" s="3" t="inlineStr">
        <is>
          <t>Analysts put training at 30–45% of AI compute in 2026 (Gartner, Deloitte; the rest is inference, i.e. serving users). Per-company estimates below follow what each firm is known to be building.</t>
        </is>
      </c>
    </row>
    <row r="22">
      <c r="B22" s="17" t="inlineStr">
        <is>
          <t>Microsoft</t>
        </is>
      </c>
      <c r="C22" s="33" t="n">
        <v>0.25</v>
      </c>
      <c r="D22" s="3" t="inlineStr">
        <is>
          <t>Inference-tilted: Azure serves the OpenAI API and Copilot; frontier training is moving to dedicated Stargate sites.</t>
        </is>
      </c>
    </row>
    <row r="23">
      <c r="B23" s="17" t="inlineStr">
        <is>
          <t>Alphabet</t>
        </is>
      </c>
      <c r="C23" s="33" t="n">
        <v>0.35</v>
      </c>
      <c r="D23" s="3" t="inlineStr">
        <is>
          <t>Trains Gemini on TPUs, but runs the largest inference estate (Search, ads, Cloud).</t>
        </is>
      </c>
    </row>
    <row r="24">
      <c r="B24" s="17" t="inlineStr">
        <is>
          <t>Amazon</t>
        </is>
      </c>
      <c r="C24" s="33" t="n">
        <v>0.35</v>
      </c>
      <c r="D24" s="3" t="inlineStr">
        <is>
          <t>Hosts large training clusters (Trainium) inside a broad AWS inference-rental business.</t>
        </is>
      </c>
    </row>
    <row r="25">
      <c r="B25" s="17" t="inlineStr">
        <is>
          <t>Meta</t>
        </is>
      </c>
      <c r="C25" s="33" t="n">
        <v>0.45</v>
      </c>
      <c r="D25" s="3" t="inlineStr">
        <is>
          <t>FY26 capex raise is driven by frontier training clusters, on top of ads-ranking inference.</t>
        </is>
      </c>
    </row>
    <row r="26">
      <c r="B26" s="17" t="inlineStr">
        <is>
          <t>Oracle</t>
        </is>
      </c>
      <c r="C26" s="33" t="n">
        <v>0.55</v>
      </c>
      <c r="D26" s="3" t="inlineStr">
        <is>
          <t>Stargate's dedicated OpenAI training data centres run on OCI.</t>
        </is>
      </c>
    </row>
    <row r="27">
      <c r="B27" s="17" t="inlineStr">
        <is>
          <t>SpaceX</t>
        </is>
      </c>
      <c r="C27" s="33" t="n">
        <v>0.5</v>
      </c>
      <c r="D27" s="3" t="inlineStr">
        <is>
          <t>Greenfield build (Colossus); early workloads are training-heavy.</t>
        </is>
      </c>
    </row>
    <row r="29">
      <c r="A29" s="4" t="inlineStr">
        <is>
          <t>FINE PRINT — what this does and does not claim</t>
        </is>
      </c>
      <c r="B29" s="5" t="n"/>
      <c r="C29" s="5" t="n"/>
      <c r="D29" s="5" t="n"/>
      <c r="E29" s="5" t="n"/>
      <c r="F29" s="5" t="n"/>
      <c r="G29" s="5" t="n"/>
      <c r="H29" s="5" t="n"/>
    </row>
    <row r="30" ht="30" customHeight="1">
      <c r="A30" t="inlineStr">
        <is>
          <t>•</t>
        </is>
      </c>
      <c r="B30" s="3" t="inlineStr">
        <is>
          <t>Only the AI chips (and the power they draw) are counted. The buildings, power infrastructure, cooling and networking around them would also shrink — that is upside, not in these numbers.</t>
        </is>
      </c>
    </row>
    <row r="31" ht="30" customHeight="1">
      <c r="A31" t="inlineStr">
        <is>
          <t>•</t>
        </is>
      </c>
      <c r="B31" s="3" t="inlineStr">
        <is>
          <t>No memory credit is taken on training clusters: training is priced purely on GPU-hours.</t>
        </is>
      </c>
    </row>
    <row r="32" ht="30" customHeight="1">
      <c r="A32" t="inlineStr">
        <is>
          <t>•</t>
        </is>
      </c>
      <c r="B32" s="3" t="inlineStr">
        <is>
          <t>Lever 1 is a projection: the quality trends are measured up to 663M parameters and extended to trillion-parameter scale.</t>
        </is>
      </c>
    </row>
    <row r="33" ht="30" customHeight="1">
      <c r="A33" t="inlineStr">
        <is>
          <t>•</t>
        </is>
      </c>
      <c r="B33" s="3" t="inlineStr">
        <is>
          <t>The saving is spend no longer needed for the same AI output. In practice firms will likely reinvest it in more AI rather than cut budgets.</t>
        </is>
      </c>
    </row>
    <row r="34" ht="30" customHeight="1">
      <c r="A34" t="inlineStr">
        <is>
          <t>•</t>
        </is>
      </c>
      <c r="B34" s="3" t="inlineStr">
        <is>
          <t>Cash basis. 'Capitalized' = annual saving ÷ discount rate (6%, roughly the long-bond yield).</t>
        </is>
      </c>
    </row>
  </sheetData>
  <mergeCells count="19">
    <mergeCell ref="B30:H30"/>
    <mergeCell ref="B33:H33"/>
    <mergeCell ref="D22:H22"/>
    <mergeCell ref="B32:H32"/>
    <mergeCell ref="D27:H27"/>
    <mergeCell ref="B31:H31"/>
    <mergeCell ref="D17:H17"/>
    <mergeCell ref="A21:H21"/>
    <mergeCell ref="D16:H16"/>
    <mergeCell ref="A2:H2"/>
    <mergeCell ref="D4:H4"/>
    <mergeCell ref="D18:H18"/>
    <mergeCell ref="D25:H25"/>
    <mergeCell ref="D15:H15"/>
    <mergeCell ref="D24:H24"/>
    <mergeCell ref="D23:H23"/>
    <mergeCell ref="D14:H14"/>
    <mergeCell ref="B34:H34"/>
    <mergeCell ref="D26:H26"/>
  </mergeCells>
  <dataValidations count="1">
    <dataValidation sqref="C4" showDropDown="0" showInputMessage="0" showErrorMessage="0" allowBlank="0" type="list">
      <formula1>"Today,Optimized kernels"</formula1>
    </dataValidation>
  </dataValidation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D44"/>
  <sheetViews>
    <sheetView workbookViewId="0">
      <selection activeCell="A1" sqref="A1"/>
    </sheetView>
  </sheetViews>
  <sheetFormatPr baseColWidth="8" defaultRowHeight="15"/>
  <cols>
    <col width="34" customWidth="1" min="1" max="1"/>
    <col width="12" customWidth="1" min="2" max="2"/>
    <col width="12" customWidth="1" min="3" max="3"/>
    <col width="54" customWidth="1" min="4" max="4"/>
  </cols>
  <sheetData>
    <row r="1">
      <c r="A1" s="34" t="inlineStr">
        <is>
          <t>Microsoft — accelerator capex &amp; value (FY2025 actual + FY2026 estimate)</t>
        </is>
      </c>
      <c r="B1" s="35" t="n"/>
      <c r="C1" s="35" t="n"/>
      <c r="D1" s="35" t="n"/>
    </row>
    <row r="2">
      <c r="A2" s="7" t="inlineStr">
        <is>
          <t>Metric</t>
        </is>
      </c>
      <c r="B2" s="7" t="inlineStr">
        <is>
          <t>FY2025</t>
        </is>
      </c>
      <c r="C2" s="7" t="inlineStr">
        <is>
          <t>FY2026</t>
        </is>
      </c>
      <c r="D2" s="7" t="inlineStr">
        <is>
          <t>basis / source</t>
        </is>
      </c>
    </row>
    <row r="3">
      <c r="A3" t="inlineStr">
        <is>
          <t>Total capex ($B)</t>
        </is>
      </c>
      <c r="B3" s="36" t="n">
        <v>88</v>
      </c>
      <c r="C3" s="37" t="n">
        <v>190</v>
      </c>
      <c r="D3" s="3" t="inlineStr">
        <is>
          <t>FY25 capex incl leases ~$88B [DISCLOSED proxy]; FY26 ~$190B CY26 guide (Jul'26 restated to ~$175B capex+finance-leases on an accounting change -- the gross guide is kept here). Short-lived 'half'-&gt;'two-thirds' (CFO). Accel ~75% [BOM]. AI rev $37B run-rate (Q3 FY26).</t>
        </is>
      </c>
    </row>
    <row r="4">
      <c r="A4" t="inlineStr">
        <is>
          <t>Infra / data-center share</t>
        </is>
      </c>
      <c r="B4" s="33" t="n">
        <v>0.97</v>
      </c>
      <c r="C4" s="33" t="n">
        <v>0.97</v>
      </c>
      <c r="D4" s="3" t="inlineStr">
        <is>
          <t>FILING: P&amp;E note (FY25/FY26 10-K). Leasehold improvements, the only non-datacenter class, are $2.5B of $86.6B (FY25) and $4.2B of $133.1B (FY26) of gross additions -&gt; 97%.</t>
        </is>
      </c>
    </row>
    <row r="5">
      <c r="A5" t="inlineStr">
        <is>
          <t>Server / short-lived share</t>
        </is>
      </c>
      <c r="B5" s="33" t="n">
        <v>0.5</v>
      </c>
      <c r="C5" s="33" t="n">
        <v>0.67</v>
      </c>
      <c r="D5" s="3" t="inlineStr">
        <is>
          <t>CFO-disclosed (MSFT rose 50%-&gt;67%)</t>
        </is>
      </c>
    </row>
    <row r="6">
      <c r="A6" t="inlineStr">
        <is>
          <t>Accelerator share within servers</t>
        </is>
      </c>
      <c r="B6" s="33" t="n">
        <v>0.75</v>
      </c>
      <c r="C6" s="33" t="n">
        <v>0.75</v>
      </c>
      <c r="D6" s="3" t="inlineStr">
        <is>
          <t>from BOM teardowns (~67-80%)</t>
        </is>
      </c>
    </row>
    <row r="7">
      <c r="A7" t="inlineStr">
        <is>
          <t>Market cap ($B, approx)</t>
        </is>
      </c>
      <c r="B7" s="38" t="n">
        <v>3700</v>
      </c>
      <c r="D7" s="3" t="inlineStr">
        <is>
          <t>approximate June 2026 market data -- edit</t>
        </is>
      </c>
    </row>
    <row r="9">
      <c r="A9" s="34" t="inlineStr">
        <is>
          <t>DERIVATION</t>
        </is>
      </c>
      <c r="B9" s="35" t="n"/>
      <c r="C9" s="35" t="n"/>
      <c r="D9" s="35" t="n"/>
    </row>
    <row r="10">
      <c r="A10" t="inlineStr">
        <is>
          <t>AI-infra capex ($B)</t>
        </is>
      </c>
      <c r="B10" s="39">
        <f>B3*B4</f>
        <v/>
      </c>
      <c r="C10" s="39">
        <f>C3*C4</f>
        <v/>
      </c>
      <c r="D10" s="3" t="inlineStr">
        <is>
          <t>total x infra share</t>
        </is>
      </c>
    </row>
    <row r="11">
      <c r="A11" t="inlineStr">
        <is>
          <t>Server bucket ($B)</t>
        </is>
      </c>
      <c r="B11" s="39">
        <f>B10*B5</f>
        <v/>
      </c>
      <c r="C11" s="39">
        <f>C10*C5</f>
        <v/>
      </c>
      <c r="D11" s="3" t="inlineStr">
        <is>
          <t>infra x server share</t>
        </is>
      </c>
    </row>
    <row r="12">
      <c r="A12" s="7" t="inlineStr">
        <is>
          <t>ACCELERATOR capex ($B)</t>
        </is>
      </c>
      <c r="B12" s="40">
        <f>B11*B6</f>
        <v/>
      </c>
      <c r="C12" s="40">
        <f>C11*C6</f>
        <v/>
      </c>
      <c r="D12" s="3" t="inlineStr">
        <is>
          <t>server x accel share</t>
        </is>
      </c>
    </row>
    <row r="13">
      <c r="A13" t="inlineStr">
        <is>
          <t>Accel % of total capex</t>
        </is>
      </c>
      <c r="B13" s="14">
        <f>B12/B3</f>
        <v/>
      </c>
      <c r="C13" s="14">
        <f>C12/C3</f>
        <v/>
      </c>
      <c r="D13" s="3" t="inlineStr">
        <is>
          <t>varies across companies</t>
        </is>
      </c>
    </row>
    <row r="15">
      <c r="A15" s="34" t="inlineStr">
        <is>
          <t>FLEET &amp; OPERATING COST (from accelerator capex)</t>
        </is>
      </c>
      <c r="B15" s="35" t="n"/>
      <c r="C15" s="35" t="n"/>
      <c r="D15" s="35" t="n"/>
    </row>
    <row r="16">
      <c r="A16" t="inlineStr">
        <is>
          <t>Fleet size (GPU-equiv)</t>
        </is>
      </c>
      <c r="B16" s="41">
        <f>B12*1000000000/Inputs!$B$7</f>
        <v/>
      </c>
      <c r="C16" s="41">
        <f>C12*1000000000/Inputs!$B$7</f>
        <v/>
      </c>
      <c r="D16" s="3" t="inlineStr">
        <is>
          <t>accel capex / $ per GPU</t>
        </is>
      </c>
    </row>
    <row r="17">
      <c r="A17" t="inlineStr">
        <is>
          <t>Total wall power (MW)</t>
        </is>
      </c>
      <c r="B17" s="41">
        <f>B16*Inputs!$B$8/1000</f>
        <v/>
      </c>
      <c r="C17" s="41">
        <f>C16*Inputs!$B$8/1000</f>
        <v/>
      </c>
      <c r="D17" s="3" t="inlineStr">
        <is>
          <t>GPUs x kW</t>
        </is>
      </c>
    </row>
    <row r="18">
      <c r="A18" t="inlineStr">
        <is>
          <t>Daily energy (MWh)</t>
        </is>
      </c>
      <c r="B18" s="41">
        <f>B17*24</f>
        <v/>
      </c>
      <c r="C18" s="41">
        <f>C17*24</f>
        <v/>
      </c>
      <c r="D18" s="3" t="inlineStr"/>
    </row>
    <row r="19">
      <c r="A19" t="inlineStr">
        <is>
          <t>Daily all-in opex ($/day)</t>
        </is>
      </c>
      <c r="B19" s="41">
        <f>B18*1000*Inputs!$B$9*(1+Inputs!$B$10)</f>
        <v/>
      </c>
      <c r="C19" s="41">
        <f>C18*1000*Inputs!$B$9*(1+Inputs!$B$10)</f>
        <v/>
      </c>
      <c r="D19" s="3" t="inlineStr">
        <is>
          <t>MWh x rate x (1+overhead)</t>
        </is>
      </c>
    </row>
    <row r="20">
      <c r="A20" t="inlineStr">
        <is>
          <t>Annual opex ($M)</t>
        </is>
      </c>
      <c r="B20" s="39">
        <f>B19*365/1000000</f>
        <v/>
      </c>
      <c r="C20" s="39">
        <f>C19*365/1000000</f>
        <v/>
      </c>
      <c r="D20" s="3" t="inlineStr"/>
    </row>
    <row r="21">
      <c r="A21" t="inlineStr">
        <is>
          <t>Lifetime opex ($B)</t>
        </is>
      </c>
      <c r="B21" s="42">
        <f>B20*Inputs!$B$11/1000</f>
        <v/>
      </c>
      <c r="C21" s="42">
        <f>C20*Inputs!$B$11/1000</f>
        <v/>
      </c>
      <c r="D21" s="3" t="inlineStr"/>
    </row>
    <row r="23">
      <c r="A23" s="34" t="inlineStr">
        <is>
          <t>EFFICIENT VERSION &amp; VALUE</t>
        </is>
      </c>
      <c r="B23" s="35" t="n"/>
      <c r="C23" s="35" t="n"/>
      <c r="D23" s="35" t="n"/>
    </row>
    <row r="24">
      <c r="A24" t="inlineStr">
        <is>
          <t>Efficient AI capex ($B)</t>
        </is>
      </c>
      <c r="B24" s="39">
        <f>B10-B25</f>
        <v/>
      </c>
      <c r="C24" s="39">
        <f>C10-C25</f>
        <v/>
      </c>
      <c r="D24" s="3" t="inlineStr">
        <is>
          <t>AI capex - avoided</t>
        </is>
      </c>
    </row>
    <row r="25">
      <c r="A25" t="inlineStr">
        <is>
          <t>Capex avoided/yr ($B)</t>
        </is>
      </c>
      <c r="B25" s="39">
        <f>(B12+(B10-B12)*Inputs!$B$13)*(1-1/Inputs!$B$20)</f>
        <v/>
      </c>
      <c r="C25" s="39">
        <f>(C12+(C10-C12)*Inputs!$B$13)*(1-1/Inputs!$B$20)</f>
        <v/>
      </c>
      <c r="D25" s="3" t="inlineStr">
        <is>
          <t>accel + (datacenter x dc-scale), all x (1-1/reduction)</t>
        </is>
      </c>
    </row>
    <row r="26">
      <c r="A26" t="inlineStr">
        <is>
          <t>Annual opex savings ($M)</t>
        </is>
      </c>
      <c r="B26" s="39">
        <f>B20*(1-1/Inputs!$B$5)</f>
        <v/>
      </c>
      <c r="C26" s="39">
        <f>C20*(1-1/Inputs!$B$5)</f>
        <v/>
      </c>
      <c r="D26" s="3" t="inlineStr"/>
    </row>
    <row r="27">
      <c r="A27" t="inlineStr">
        <is>
          <t>Sustained annual benefit ($B/yr)</t>
        </is>
      </c>
      <c r="B27" s="43">
        <f>B25+B26/1000</f>
        <v/>
      </c>
      <c r="C27" s="43">
        <f>C25+C26/1000</f>
        <v/>
      </c>
      <c r="D27" s="3" t="inlineStr">
        <is>
          <t>avoided + opex savings</t>
        </is>
      </c>
    </row>
    <row r="28">
      <c r="A28" s="7" t="inlineStr">
        <is>
          <t>Capitalized value ($B)</t>
        </is>
      </c>
      <c r="B28" s="44">
        <f>B27/Inputs!$B$6</f>
        <v/>
      </c>
      <c r="C28" s="44">
        <f>C27/Inputs!$B$6</f>
        <v/>
      </c>
      <c r="D28" s="3" t="inlineStr">
        <is>
          <t>benefit / discount rate</t>
        </is>
      </c>
    </row>
    <row r="29">
      <c r="A29" t="inlineStr">
        <is>
          <t>% of market cap</t>
        </is>
      </c>
      <c r="B29" s="25">
        <f>B28/$B$7</f>
        <v/>
      </c>
      <c r="C29" s="25">
        <f>C28/$B$7</f>
        <v/>
      </c>
      <c r="D29" s="3" t="inlineStr"/>
    </row>
    <row r="31">
      <c r="A31" s="34" t="inlineStr">
        <is>
          <t>AI ECONOMICS (cash basis: AI revenue - AI capex - AI opex)</t>
        </is>
      </c>
      <c r="B31" s="35" t="n"/>
      <c r="C31" s="35" t="n"/>
      <c r="D31" s="35" t="n"/>
    </row>
    <row r="32">
      <c r="A32" t="inlineStr">
        <is>
          <t>AI revenue ($B)</t>
        </is>
      </c>
      <c r="B32" s="37" t="n">
        <v>30</v>
      </c>
      <c r="C32" s="37" t="n">
        <v>50</v>
      </c>
      <c r="D32" s="3" t="inlineStr">
        <is>
          <t>ESTIMATE (see Methodology). MSFT $37B &amp; Amazon $15B run-rates disclosed; Google/Meta/SpaceX estimated.</t>
        </is>
      </c>
    </row>
    <row r="33">
      <c r="A33" t="inlineStr">
        <is>
          <t>AI capex ($B)</t>
        </is>
      </c>
      <c r="B33" s="39">
        <f>B10</f>
        <v/>
      </c>
      <c r="C33" s="39">
        <f>C10</f>
        <v/>
      </c>
      <c r="D33" s="3" t="inlineStr">
        <is>
          <t>AI-infra capex (full: accel + buildings + power + net)</t>
        </is>
      </c>
    </row>
    <row r="34">
      <c r="A34" t="inlineStr">
        <is>
          <t>AI opex ($B)</t>
        </is>
      </c>
      <c r="B34" s="39">
        <f>B20/1000</f>
        <v/>
      </c>
      <c r="C34" s="39">
        <f>C20/1000</f>
        <v/>
      </c>
      <c r="D34" s="3" t="inlineStr">
        <is>
          <t>annual power/operating</t>
        </is>
      </c>
    </row>
    <row r="35">
      <c r="A35" s="7" t="inlineStr">
        <is>
          <t>Net AI NOW ($B)</t>
        </is>
      </c>
      <c r="B35" s="40">
        <f>B32-B33-B34</f>
        <v/>
      </c>
      <c r="C35" s="40">
        <f>C32-C33-C34</f>
        <v/>
      </c>
      <c r="D35" s="3" t="inlineStr">
        <is>
          <t>revenue - capex - opex (cash burn)</t>
        </is>
      </c>
    </row>
    <row r="36">
      <c r="A36" t="inlineStr">
        <is>
          <t>Spend cut, our arch ($B)</t>
        </is>
      </c>
      <c r="B36" s="39">
        <f>B27</f>
        <v/>
      </c>
      <c r="C36" s="39">
        <f>C27</f>
        <v/>
      </c>
      <c r="D36" s="3" t="inlineStr">
        <is>
          <t>accel capex avoided + opex saved</t>
        </is>
      </c>
    </row>
    <row r="37">
      <c r="A37" s="7" t="inlineStr">
        <is>
          <t>Net AI WITH our arch ($B)</t>
        </is>
      </c>
      <c r="B37" s="40">
        <f>B35+B36</f>
        <v/>
      </c>
      <c r="C37" s="40">
        <f>C35+C36</f>
        <v/>
      </c>
      <c r="D37" s="3" t="inlineStr">
        <is>
          <t>Net AI now + spend cut</t>
        </is>
      </c>
    </row>
    <row r="38">
      <c r="A38" t="inlineStr">
        <is>
          <t>% AI spend reduction</t>
        </is>
      </c>
      <c r="B38" s="14">
        <f>B36/(B33+B34)</f>
        <v/>
      </c>
      <c r="C38" s="14">
        <f>C36/(C33+C34)</f>
        <v/>
      </c>
      <c r="D38" s="3" t="inlineStr">
        <is>
          <t>spend cut / total AI spend (accel-only; upside if DC scales)</t>
        </is>
      </c>
    </row>
    <row r="40">
      <c r="A40" s="34" t="inlineStr">
        <is>
          <t>SOURCES &amp; REFERENCES</t>
        </is>
      </c>
      <c r="B40" s="35" t="n"/>
      <c r="C40" s="35" t="n"/>
      <c r="D40" s="35" t="n"/>
    </row>
    <row r="41">
      <c r="A41" s="3" t="inlineStr">
        <is>
          <t>FY25 capex &gt;$88B incl leases; server life 2-6yr (FY25 10-K)</t>
        </is>
      </c>
      <c r="B41" s="45" t="inlineStr">
        <is>
          <t>https://www.sec.gov/Archives/edgar/data/789019/000095017025100235/msft-20250630.htm</t>
        </is>
      </c>
    </row>
    <row r="42">
      <c r="A42" s="3" t="inlineStr">
        <is>
          <t>FY26 ~$190B guide; 'two-thirds' short-lived = GPUs+CPUs (Q3 FY26 call)</t>
        </is>
      </c>
      <c r="B42" s="45" t="inlineStr">
        <is>
          <t>https://www.fool.com/earnings/call-transcripts/2026/04/29/microsoft-msft-q3-2026-earnings-transcript/</t>
        </is>
      </c>
    </row>
    <row r="43">
      <c r="A43" s="3" t="inlineStr">
        <is>
          <t>AI revenue $37B annual run-rate (Q3 FY26)</t>
        </is>
      </c>
      <c r="B43" s="45" t="inlineStr">
        <is>
          <t>https://news.alphastreet.com/microsoft-msft-q3-fy2026-azure-hits-40-growth-as-ai-business-reaches-37-billion-run-rate/</t>
        </is>
      </c>
    </row>
    <row r="44">
      <c r="A44" s="3" t="inlineStr">
        <is>
          <t>~485k Hopper GPUs / ~$31B in 2024 (Omdia) - cross-checks accel capex</t>
        </is>
      </c>
      <c r="B44" s="45" t="inlineStr">
        <is>
          <t>https://techcrunch.com/2024/12/18/microsoft-bought-nearly-500000-nvidia-hopper-chips-this-year/</t>
        </is>
      </c>
    </row>
  </sheetData>
  <mergeCells count="4">
    <mergeCell ref="B42:D42"/>
    <mergeCell ref="B41:D41"/>
    <mergeCell ref="B44:D44"/>
    <mergeCell ref="B43:D43"/>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 xmlns:r="http://schemas.openxmlformats.org/officeDocument/2006/relationships" ref="B44" r:id="rId4"/>
  </hyperlink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D43"/>
  <sheetViews>
    <sheetView workbookViewId="0">
      <selection activeCell="A1" sqref="A1"/>
    </sheetView>
  </sheetViews>
  <sheetFormatPr baseColWidth="8" defaultRowHeight="15"/>
  <cols>
    <col width="34" customWidth="1" min="1" max="1"/>
    <col width="12" customWidth="1" min="2" max="2"/>
    <col width="12" customWidth="1" min="3" max="3"/>
    <col width="54" customWidth="1" min="4" max="4"/>
  </cols>
  <sheetData>
    <row r="1">
      <c r="A1" s="34" t="inlineStr">
        <is>
          <t>Alphabet — accelerator capex &amp; value (FY2025 actual + FY2026 estimate)</t>
        </is>
      </c>
      <c r="B1" s="35" t="n"/>
      <c r="C1" s="35" t="n"/>
      <c r="D1" s="35" t="n"/>
    </row>
    <row r="2">
      <c r="A2" s="7" t="inlineStr">
        <is>
          <t>Metric</t>
        </is>
      </c>
      <c r="B2" s="7" t="inlineStr">
        <is>
          <t>FY2025</t>
        </is>
      </c>
      <c r="C2" s="7" t="inlineStr">
        <is>
          <t>FY2026</t>
        </is>
      </c>
      <c r="D2" s="7" t="inlineStr">
        <is>
          <t>basis / source</t>
        </is>
      </c>
    </row>
    <row r="3">
      <c r="A3" t="inlineStr">
        <is>
          <t>Total capex ($B)</t>
        </is>
      </c>
      <c r="B3" s="36" t="n">
        <v>91.40000000000001</v>
      </c>
      <c r="C3" s="37" t="n">
        <v>185</v>
      </c>
      <c r="D3" s="3" t="inlineStr">
        <is>
          <t>FY25 capex $91.4B [DISCLOSED]; FY26 $180-190B guide. 60% servers / 40% DC (CFO). Accel ~67% [BOM]. AI rev ESTIMATE (Cloud $70B run-rate, AI subset).</t>
        </is>
      </c>
    </row>
    <row r="4">
      <c r="A4" t="inlineStr">
        <is>
          <t>Infra / data-center share</t>
        </is>
      </c>
      <c r="B4" s="33" t="n">
        <v>0.93</v>
      </c>
      <c r="C4" s="33" t="n">
        <v>0.95</v>
      </c>
      <c r="D4" s="3" t="inlineStr">
        <is>
          <t>FILING: P&amp;E note. Technical infrastructure +$61.8B vs office space +$2.9B and corporate +$1.9B in 2025 (10-K) -&gt; 93%; +$43.5B vs +$2.3B office in H1 2026 (10-Q) -&gt; 95%.</t>
        </is>
      </c>
    </row>
    <row r="5">
      <c r="A5" t="inlineStr">
        <is>
          <t>Server / short-lived share</t>
        </is>
      </c>
      <c r="B5" s="33" t="n">
        <v>0.6</v>
      </c>
      <c r="C5" s="33" t="n">
        <v>0.6</v>
      </c>
      <c r="D5" s="3" t="inlineStr">
        <is>
          <t>CFO-disclosed (MSFT rose 50%-&gt;67%)</t>
        </is>
      </c>
    </row>
    <row r="6">
      <c r="A6" t="inlineStr">
        <is>
          <t>Accelerator share within servers</t>
        </is>
      </c>
      <c r="B6" s="33" t="n">
        <v>0.67</v>
      </c>
      <c r="C6" s="33" t="n">
        <v>0.67</v>
      </c>
      <c r="D6" s="3" t="inlineStr">
        <is>
          <t>from BOM teardowns (~67-80%)</t>
        </is>
      </c>
    </row>
    <row r="7">
      <c r="A7" t="inlineStr">
        <is>
          <t>Market cap ($B, approx)</t>
        </is>
      </c>
      <c r="B7" s="38" t="n">
        <v>4250</v>
      </c>
      <c r="D7" s="3" t="inlineStr">
        <is>
          <t>approximate June 2026 market data -- edit</t>
        </is>
      </c>
    </row>
    <row r="9">
      <c r="A9" s="34" t="inlineStr">
        <is>
          <t>DERIVATION</t>
        </is>
      </c>
      <c r="B9" s="35" t="n"/>
      <c r="C9" s="35" t="n"/>
      <c r="D9" s="35" t="n"/>
    </row>
    <row r="10">
      <c r="A10" t="inlineStr">
        <is>
          <t>AI-infra capex ($B)</t>
        </is>
      </c>
      <c r="B10" s="39">
        <f>B3*B4</f>
        <v/>
      </c>
      <c r="C10" s="39">
        <f>C3*C4</f>
        <v/>
      </c>
      <c r="D10" s="3" t="inlineStr">
        <is>
          <t>total x infra share</t>
        </is>
      </c>
    </row>
    <row r="11">
      <c r="A11" t="inlineStr">
        <is>
          <t>Server bucket ($B)</t>
        </is>
      </c>
      <c r="B11" s="39">
        <f>B10*B5</f>
        <v/>
      </c>
      <c r="C11" s="39">
        <f>C10*C5</f>
        <v/>
      </c>
      <c r="D11" s="3" t="inlineStr">
        <is>
          <t>infra x server share</t>
        </is>
      </c>
    </row>
    <row r="12">
      <c r="A12" s="7" t="inlineStr">
        <is>
          <t>ACCELERATOR capex ($B)</t>
        </is>
      </c>
      <c r="B12" s="40">
        <f>B11*B6</f>
        <v/>
      </c>
      <c r="C12" s="40">
        <f>C11*C6</f>
        <v/>
      </c>
      <c r="D12" s="3" t="inlineStr">
        <is>
          <t>server x accel share</t>
        </is>
      </c>
    </row>
    <row r="13">
      <c r="A13" t="inlineStr">
        <is>
          <t>Accel % of total capex</t>
        </is>
      </c>
      <c r="B13" s="14">
        <f>B12/B3</f>
        <v/>
      </c>
      <c r="C13" s="14">
        <f>C12/C3</f>
        <v/>
      </c>
      <c r="D13" s="3" t="inlineStr">
        <is>
          <t>varies across companies</t>
        </is>
      </c>
    </row>
    <row r="15">
      <c r="A15" s="34" t="inlineStr">
        <is>
          <t>FLEET &amp; OPERATING COST (from accelerator capex)</t>
        </is>
      </c>
      <c r="B15" s="35" t="n"/>
      <c r="C15" s="35" t="n"/>
      <c r="D15" s="35" t="n"/>
    </row>
    <row r="16">
      <c r="A16" t="inlineStr">
        <is>
          <t>Fleet size (GPU-equiv)</t>
        </is>
      </c>
      <c r="B16" s="41">
        <f>B12*1000000000/Inputs!$B$7</f>
        <v/>
      </c>
      <c r="C16" s="41">
        <f>C12*1000000000/Inputs!$B$7</f>
        <v/>
      </c>
      <c r="D16" s="3" t="inlineStr">
        <is>
          <t>accel capex / $ per GPU</t>
        </is>
      </c>
    </row>
    <row r="17">
      <c r="A17" t="inlineStr">
        <is>
          <t>Total wall power (MW)</t>
        </is>
      </c>
      <c r="B17" s="41">
        <f>B16*Inputs!$B$8/1000</f>
        <v/>
      </c>
      <c r="C17" s="41">
        <f>C16*Inputs!$B$8/1000</f>
        <v/>
      </c>
      <c r="D17" s="3" t="inlineStr">
        <is>
          <t>GPUs x kW</t>
        </is>
      </c>
    </row>
    <row r="18">
      <c r="A18" t="inlineStr">
        <is>
          <t>Daily energy (MWh)</t>
        </is>
      </c>
      <c r="B18" s="41">
        <f>B17*24</f>
        <v/>
      </c>
      <c r="C18" s="41">
        <f>C17*24</f>
        <v/>
      </c>
      <c r="D18" s="3" t="inlineStr"/>
    </row>
    <row r="19">
      <c r="A19" t="inlineStr">
        <is>
          <t>Daily all-in opex ($/day)</t>
        </is>
      </c>
      <c r="B19" s="41">
        <f>B18*1000*Inputs!$B$9*(1+Inputs!$B$10)</f>
        <v/>
      </c>
      <c r="C19" s="41">
        <f>C18*1000*Inputs!$B$9*(1+Inputs!$B$10)</f>
        <v/>
      </c>
      <c r="D19" s="3" t="inlineStr">
        <is>
          <t>MWh x rate x (1+overhead)</t>
        </is>
      </c>
    </row>
    <row r="20">
      <c r="A20" t="inlineStr">
        <is>
          <t>Annual opex ($M)</t>
        </is>
      </c>
      <c r="B20" s="39">
        <f>B19*365/1000000</f>
        <v/>
      </c>
      <c r="C20" s="39">
        <f>C19*365/1000000</f>
        <v/>
      </c>
      <c r="D20" s="3" t="inlineStr"/>
    </row>
    <row r="21">
      <c r="A21" t="inlineStr">
        <is>
          <t>Lifetime opex ($B)</t>
        </is>
      </c>
      <c r="B21" s="42">
        <f>B20*Inputs!$B$11/1000</f>
        <v/>
      </c>
      <c r="C21" s="42">
        <f>C20*Inputs!$B$11/1000</f>
        <v/>
      </c>
      <c r="D21" s="3" t="inlineStr"/>
    </row>
    <row r="23">
      <c r="A23" s="34" t="inlineStr">
        <is>
          <t>EFFICIENT VERSION &amp; VALUE</t>
        </is>
      </c>
      <c r="B23" s="35" t="n"/>
      <c r="C23" s="35" t="n"/>
      <c r="D23" s="35" t="n"/>
    </row>
    <row r="24">
      <c r="A24" t="inlineStr">
        <is>
          <t>Efficient AI capex ($B)</t>
        </is>
      </c>
      <c r="B24" s="39">
        <f>B10-B25</f>
        <v/>
      </c>
      <c r="C24" s="39">
        <f>C10-C25</f>
        <v/>
      </c>
      <c r="D24" s="3" t="inlineStr">
        <is>
          <t>AI capex - avoided</t>
        </is>
      </c>
    </row>
    <row r="25">
      <c r="A25" t="inlineStr">
        <is>
          <t>Capex avoided/yr ($B)</t>
        </is>
      </c>
      <c r="B25" s="39">
        <f>(B12+(B10-B12)*Inputs!$B$13)*(1-1/Inputs!$B$20)</f>
        <v/>
      </c>
      <c r="C25" s="39">
        <f>(C12+(C10-C12)*Inputs!$B$13)*(1-1/Inputs!$B$20)</f>
        <v/>
      </c>
      <c r="D25" s="3" t="inlineStr">
        <is>
          <t>accel + (datacenter x dc-scale), all x (1-1/reduction)</t>
        </is>
      </c>
    </row>
    <row r="26">
      <c r="A26" t="inlineStr">
        <is>
          <t>Annual opex savings ($M)</t>
        </is>
      </c>
      <c r="B26" s="39">
        <f>B20*(1-1/Inputs!$B$5)</f>
        <v/>
      </c>
      <c r="C26" s="39">
        <f>C20*(1-1/Inputs!$B$5)</f>
        <v/>
      </c>
      <c r="D26" s="3" t="inlineStr"/>
    </row>
    <row r="27">
      <c r="A27" t="inlineStr">
        <is>
          <t>Sustained annual benefit ($B/yr)</t>
        </is>
      </c>
      <c r="B27" s="43">
        <f>B25+B26/1000</f>
        <v/>
      </c>
      <c r="C27" s="43">
        <f>C25+C26/1000</f>
        <v/>
      </c>
      <c r="D27" s="3" t="inlineStr">
        <is>
          <t>avoided + opex savings</t>
        </is>
      </c>
    </row>
    <row r="28">
      <c r="A28" s="7" t="inlineStr">
        <is>
          <t>Capitalized value ($B)</t>
        </is>
      </c>
      <c r="B28" s="44">
        <f>B27/Inputs!$B$6</f>
        <v/>
      </c>
      <c r="C28" s="44">
        <f>C27/Inputs!$B$6</f>
        <v/>
      </c>
      <c r="D28" s="3" t="inlineStr">
        <is>
          <t>benefit / discount rate</t>
        </is>
      </c>
    </row>
    <row r="29">
      <c r="A29" t="inlineStr">
        <is>
          <t>% of market cap</t>
        </is>
      </c>
      <c r="B29" s="25">
        <f>B28/$B$7</f>
        <v/>
      </c>
      <c r="C29" s="25">
        <f>C28/$B$7</f>
        <v/>
      </c>
      <c r="D29" s="3" t="inlineStr"/>
    </row>
    <row r="31">
      <c r="A31" s="34" t="inlineStr">
        <is>
          <t>AI ECONOMICS (cash basis: AI revenue - AI capex - AI opex)</t>
        </is>
      </c>
      <c r="B31" s="35" t="n"/>
      <c r="C31" s="35" t="n"/>
      <c r="D31" s="35" t="n"/>
    </row>
    <row r="32">
      <c r="A32" t="inlineStr">
        <is>
          <t>AI revenue ($B)</t>
        </is>
      </c>
      <c r="B32" s="37" t="n">
        <v>25</v>
      </c>
      <c r="C32" s="37" t="n">
        <v>40</v>
      </c>
      <c r="D32" s="3" t="inlineStr">
        <is>
          <t>ESTIMATE (see Methodology). MSFT $37B &amp; Amazon $15B run-rates disclosed; Google/Meta/SpaceX estimated.</t>
        </is>
      </c>
    </row>
    <row r="33">
      <c r="A33" t="inlineStr">
        <is>
          <t>AI capex ($B)</t>
        </is>
      </c>
      <c r="B33" s="39">
        <f>B10</f>
        <v/>
      </c>
      <c r="C33" s="39">
        <f>C10</f>
        <v/>
      </c>
      <c r="D33" s="3" t="inlineStr">
        <is>
          <t>AI-infra capex (full: accel + buildings + power + net)</t>
        </is>
      </c>
    </row>
    <row r="34">
      <c r="A34" t="inlineStr">
        <is>
          <t>AI opex ($B)</t>
        </is>
      </c>
      <c r="B34" s="39">
        <f>B20/1000</f>
        <v/>
      </c>
      <c r="C34" s="39">
        <f>C20/1000</f>
        <v/>
      </c>
      <c r="D34" s="3" t="inlineStr">
        <is>
          <t>annual power/operating</t>
        </is>
      </c>
    </row>
    <row r="35">
      <c r="A35" s="7" t="inlineStr">
        <is>
          <t>Net AI NOW ($B)</t>
        </is>
      </c>
      <c r="B35" s="40">
        <f>B32-B33-B34</f>
        <v/>
      </c>
      <c r="C35" s="40">
        <f>C32-C33-C34</f>
        <v/>
      </c>
      <c r="D35" s="3" t="inlineStr">
        <is>
          <t>revenue - capex - opex (cash burn)</t>
        </is>
      </c>
    </row>
    <row r="36">
      <c r="A36" t="inlineStr">
        <is>
          <t>Spend cut, our arch ($B)</t>
        </is>
      </c>
      <c r="B36" s="39">
        <f>B27</f>
        <v/>
      </c>
      <c r="C36" s="39">
        <f>C27</f>
        <v/>
      </c>
      <c r="D36" s="3" t="inlineStr">
        <is>
          <t>accel capex avoided + opex saved</t>
        </is>
      </c>
    </row>
    <row r="37">
      <c r="A37" s="7" t="inlineStr">
        <is>
          <t>Net AI WITH our arch ($B)</t>
        </is>
      </c>
      <c r="B37" s="40">
        <f>B35+B36</f>
        <v/>
      </c>
      <c r="C37" s="40">
        <f>C35+C36</f>
        <v/>
      </c>
      <c r="D37" s="3" t="inlineStr">
        <is>
          <t>Net AI now + spend cut</t>
        </is>
      </c>
    </row>
    <row r="38">
      <c r="A38" t="inlineStr">
        <is>
          <t>% AI spend reduction</t>
        </is>
      </c>
      <c r="B38" s="14">
        <f>B36/(B33+B34)</f>
        <v/>
      </c>
      <c r="C38" s="14">
        <f>C36/(C33+C34)</f>
        <v/>
      </c>
      <c r="D38" s="3" t="inlineStr">
        <is>
          <t>spend cut / total AI spend (accel-only; upside if DC scales)</t>
        </is>
      </c>
    </row>
    <row r="40">
      <c r="A40" s="34" t="inlineStr">
        <is>
          <t>SOURCES &amp; REFERENCES</t>
        </is>
      </c>
      <c r="B40" s="35" t="n"/>
      <c r="C40" s="35" t="n"/>
      <c r="D40" s="35" t="n"/>
    </row>
    <row r="41">
      <c r="A41" s="3" t="inlineStr">
        <is>
          <t>FY25 capex $91.4B; CFO 60% servers / 40% DC+net (Q4'25 call)</t>
        </is>
      </c>
      <c r="B41" s="45" t="inlineStr">
        <is>
          <t>https://www.fool.com/earnings/call-transcripts/2026/02/04/alphabet-googl-q4-2025-earnings-call-transcript/</t>
        </is>
      </c>
    </row>
    <row r="42">
      <c r="A42" s="3" t="inlineStr">
        <is>
          <t>FY26 guide $180-190B (Q1'26)</t>
        </is>
      </c>
      <c r="B42" s="45" t="inlineStr">
        <is>
          <t>https://www.cnbc.com/2026/04/29/alphabet-googl-q1-2026-earnings.html</t>
        </is>
      </c>
    </row>
    <row r="43">
      <c r="A43" s="3" t="inlineStr">
        <is>
          <t>Server life 6yr; TPU at-cost TCO 20-50% below NVIDIA (SemiAnalysis)</t>
        </is>
      </c>
      <c r="B43" s="45" t="inlineStr">
        <is>
          <t>https://newsletter.semianalysis.com/p/tpuv7-google-takes-a-swing-at-the</t>
        </is>
      </c>
    </row>
  </sheetData>
  <mergeCells count="3">
    <mergeCell ref="B42:D42"/>
    <mergeCell ref="B41:D41"/>
    <mergeCell ref="B43:D43"/>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s>
  <pageMargins left="0.75" right="0.75" top="1" bottom="1" header="0.5" footer="0.5"/>
</worksheet>
</file>

<file path=xl/worksheets/sheet6.xml><?xml version="1.0" encoding="utf-8"?>
<worksheet xmlns="http://schemas.openxmlformats.org/spreadsheetml/2006/main">
  <sheetPr>
    <tabColor rgb="0070AD47"/>
    <outlinePr summaryBelow="1" summaryRight="1"/>
    <pageSetUpPr/>
  </sheetPr>
  <dimension ref="A1:D43"/>
  <sheetViews>
    <sheetView workbookViewId="0">
      <selection activeCell="A1" sqref="A1"/>
    </sheetView>
  </sheetViews>
  <sheetFormatPr baseColWidth="8" defaultRowHeight="15"/>
  <cols>
    <col width="34" customWidth="1" min="1" max="1"/>
    <col width="12" customWidth="1" min="2" max="2"/>
    <col width="12" customWidth="1" min="3" max="3"/>
    <col width="54" customWidth="1" min="4" max="4"/>
  </cols>
  <sheetData>
    <row r="1">
      <c r="A1" s="34" t="inlineStr">
        <is>
          <t>Amazon — accelerator capex &amp; value (FY2025 actual + FY2026 estimate)</t>
        </is>
      </c>
      <c r="B1" s="35" t="n"/>
      <c r="C1" s="35" t="n"/>
      <c r="D1" s="35" t="n"/>
    </row>
    <row r="2">
      <c r="A2" s="7" t="inlineStr">
        <is>
          <t>Metric</t>
        </is>
      </c>
      <c r="B2" s="7" t="inlineStr">
        <is>
          <t>FY2025</t>
        </is>
      </c>
      <c r="C2" s="7" t="inlineStr">
        <is>
          <t>FY2026</t>
        </is>
      </c>
      <c r="D2" s="7" t="inlineStr">
        <is>
          <t>basis / source</t>
        </is>
      </c>
    </row>
    <row r="3">
      <c r="A3" t="inlineStr">
        <is>
          <t>Total capex ($B)</t>
        </is>
      </c>
      <c r="B3" s="36" t="n">
        <v>128.3</v>
      </c>
      <c r="C3" s="37" t="n">
        <v>220</v>
      </c>
      <c r="D3" s="3" t="inlineStr">
        <is>
          <t>FY25 cash capex $128.3B [DISCLOSED]; FY26 raised to ~$220B (Q2'26, 2026-07-30). AWS ~68-70% -&gt; strips fulfillment. Accel ~67% [BOM]. AI rev &gt;$15B AWS run-rate (Q1 FY26, Jassy).</t>
        </is>
      </c>
    </row>
    <row r="4">
      <c r="A4" t="inlineStr">
        <is>
          <t>Infra / data-center share</t>
        </is>
      </c>
      <c r="B4" s="33" t="n">
        <v>0.68</v>
      </c>
      <c r="C4" s="33" t="n">
        <v>0.76</v>
      </c>
      <c r="D4" s="3" t="inlineStr">
        <is>
          <t>FILING: segment note, AWS share of net P&amp;E additions. $96.5B of $142.4B in 2025 (10-K) -&gt; 68%; $90.1B of $118.6B in H1 2026 (10-Q) -&gt; 76%. Strips fulfillment/logistics.</t>
        </is>
      </c>
    </row>
    <row r="5">
      <c r="A5" t="inlineStr">
        <is>
          <t>Server / short-lived share</t>
        </is>
      </c>
      <c r="B5" s="33" t="n">
        <v>0.65</v>
      </c>
      <c r="C5" s="33" t="n">
        <v>0.65</v>
      </c>
      <c r="D5" s="3" t="inlineStr">
        <is>
          <t>CFO-disclosed (MSFT rose 50%-&gt;67%)</t>
        </is>
      </c>
    </row>
    <row r="6">
      <c r="A6" t="inlineStr">
        <is>
          <t>Accelerator share within servers</t>
        </is>
      </c>
      <c r="B6" s="33" t="n">
        <v>0.67</v>
      </c>
      <c r="C6" s="33" t="n">
        <v>0.67</v>
      </c>
      <c r="D6" s="3" t="inlineStr">
        <is>
          <t>from BOM teardowns (~67-80%)</t>
        </is>
      </c>
    </row>
    <row r="7">
      <c r="A7" t="inlineStr">
        <is>
          <t>Market cap ($B, approx)</t>
        </is>
      </c>
      <c r="B7" s="38" t="n">
        <v>2830</v>
      </c>
      <c r="D7" s="3" t="inlineStr">
        <is>
          <t>approximate June 2026 market data -- edit</t>
        </is>
      </c>
    </row>
    <row r="9">
      <c r="A9" s="34" t="inlineStr">
        <is>
          <t>DERIVATION</t>
        </is>
      </c>
      <c r="B9" s="35" t="n"/>
      <c r="C9" s="35" t="n"/>
      <c r="D9" s="35" t="n"/>
    </row>
    <row r="10">
      <c r="A10" t="inlineStr">
        <is>
          <t>AI-infra capex ($B)</t>
        </is>
      </c>
      <c r="B10" s="39">
        <f>B3*B4</f>
        <v/>
      </c>
      <c r="C10" s="39">
        <f>C3*C4</f>
        <v/>
      </c>
      <c r="D10" s="3" t="inlineStr">
        <is>
          <t>total x infra share</t>
        </is>
      </c>
    </row>
    <row r="11">
      <c r="A11" t="inlineStr">
        <is>
          <t>Server bucket ($B)</t>
        </is>
      </c>
      <c r="B11" s="39">
        <f>B10*B5</f>
        <v/>
      </c>
      <c r="C11" s="39">
        <f>C10*C5</f>
        <v/>
      </c>
      <c r="D11" s="3" t="inlineStr">
        <is>
          <t>infra x server share</t>
        </is>
      </c>
    </row>
    <row r="12">
      <c r="A12" s="7" t="inlineStr">
        <is>
          <t>ACCELERATOR capex ($B)</t>
        </is>
      </c>
      <c r="B12" s="40">
        <f>B11*B6</f>
        <v/>
      </c>
      <c r="C12" s="40">
        <f>C11*C6</f>
        <v/>
      </c>
      <c r="D12" s="3" t="inlineStr">
        <is>
          <t>server x accel share</t>
        </is>
      </c>
    </row>
    <row r="13">
      <c r="A13" t="inlineStr">
        <is>
          <t>Accel % of total capex</t>
        </is>
      </c>
      <c r="B13" s="14">
        <f>B12/B3</f>
        <v/>
      </c>
      <c r="C13" s="14">
        <f>C12/C3</f>
        <v/>
      </c>
      <c r="D13" s="3" t="inlineStr">
        <is>
          <t>varies across companies</t>
        </is>
      </c>
    </row>
    <row r="15">
      <c r="A15" s="34" t="inlineStr">
        <is>
          <t>FLEET &amp; OPERATING COST (from accelerator capex)</t>
        </is>
      </c>
      <c r="B15" s="35" t="n"/>
      <c r="C15" s="35" t="n"/>
      <c r="D15" s="35" t="n"/>
    </row>
    <row r="16">
      <c r="A16" t="inlineStr">
        <is>
          <t>Fleet size (GPU-equiv)</t>
        </is>
      </c>
      <c r="B16" s="41">
        <f>B12*1000000000/Inputs!$B$7</f>
        <v/>
      </c>
      <c r="C16" s="41">
        <f>C12*1000000000/Inputs!$B$7</f>
        <v/>
      </c>
      <c r="D16" s="3" t="inlineStr">
        <is>
          <t>accel capex / $ per GPU</t>
        </is>
      </c>
    </row>
    <row r="17">
      <c r="A17" t="inlineStr">
        <is>
          <t>Total wall power (MW)</t>
        </is>
      </c>
      <c r="B17" s="41">
        <f>B16*Inputs!$B$8/1000</f>
        <v/>
      </c>
      <c r="C17" s="41">
        <f>C16*Inputs!$B$8/1000</f>
        <v/>
      </c>
      <c r="D17" s="3" t="inlineStr">
        <is>
          <t>GPUs x kW</t>
        </is>
      </c>
    </row>
    <row r="18">
      <c r="A18" t="inlineStr">
        <is>
          <t>Daily energy (MWh)</t>
        </is>
      </c>
      <c r="B18" s="41">
        <f>B17*24</f>
        <v/>
      </c>
      <c r="C18" s="41">
        <f>C17*24</f>
        <v/>
      </c>
      <c r="D18" s="3" t="inlineStr"/>
    </row>
    <row r="19">
      <c r="A19" t="inlineStr">
        <is>
          <t>Daily all-in opex ($/day)</t>
        </is>
      </c>
      <c r="B19" s="41">
        <f>B18*1000*Inputs!$B$9*(1+Inputs!$B$10)</f>
        <v/>
      </c>
      <c r="C19" s="41">
        <f>C18*1000*Inputs!$B$9*(1+Inputs!$B$10)</f>
        <v/>
      </c>
      <c r="D19" s="3" t="inlineStr">
        <is>
          <t>MWh x rate x (1+overhead)</t>
        </is>
      </c>
    </row>
    <row r="20">
      <c r="A20" t="inlineStr">
        <is>
          <t>Annual opex ($M)</t>
        </is>
      </c>
      <c r="B20" s="39">
        <f>B19*365/1000000</f>
        <v/>
      </c>
      <c r="C20" s="39">
        <f>C19*365/1000000</f>
        <v/>
      </c>
      <c r="D20" s="3" t="inlineStr"/>
    </row>
    <row r="21">
      <c r="A21" t="inlineStr">
        <is>
          <t>Lifetime opex ($B)</t>
        </is>
      </c>
      <c r="B21" s="42">
        <f>B20*Inputs!$B$11/1000</f>
        <v/>
      </c>
      <c r="C21" s="42">
        <f>C20*Inputs!$B$11/1000</f>
        <v/>
      </c>
      <c r="D21" s="3" t="inlineStr"/>
    </row>
    <row r="23">
      <c r="A23" s="34" t="inlineStr">
        <is>
          <t>EFFICIENT VERSION &amp; VALUE</t>
        </is>
      </c>
      <c r="B23" s="35" t="n"/>
      <c r="C23" s="35" t="n"/>
      <c r="D23" s="35" t="n"/>
    </row>
    <row r="24">
      <c r="A24" t="inlineStr">
        <is>
          <t>Efficient AI capex ($B)</t>
        </is>
      </c>
      <c r="B24" s="39">
        <f>B10-B25</f>
        <v/>
      </c>
      <c r="C24" s="39">
        <f>C10-C25</f>
        <v/>
      </c>
      <c r="D24" s="3" t="inlineStr">
        <is>
          <t>AI capex - avoided</t>
        </is>
      </c>
    </row>
    <row r="25">
      <c r="A25" t="inlineStr">
        <is>
          <t>Capex avoided/yr ($B)</t>
        </is>
      </c>
      <c r="B25" s="39">
        <f>(B12+(B10-B12)*Inputs!$B$13)*(1-1/Inputs!$B$20)</f>
        <v/>
      </c>
      <c r="C25" s="39">
        <f>(C12+(C10-C12)*Inputs!$B$13)*(1-1/Inputs!$B$20)</f>
        <v/>
      </c>
      <c r="D25" s="3" t="inlineStr">
        <is>
          <t>accel + (datacenter x dc-scale), all x (1-1/reduction)</t>
        </is>
      </c>
    </row>
    <row r="26">
      <c r="A26" t="inlineStr">
        <is>
          <t>Annual opex savings ($M)</t>
        </is>
      </c>
      <c r="B26" s="39">
        <f>B20*(1-1/Inputs!$B$5)</f>
        <v/>
      </c>
      <c r="C26" s="39">
        <f>C20*(1-1/Inputs!$B$5)</f>
        <v/>
      </c>
      <c r="D26" s="3" t="inlineStr"/>
    </row>
    <row r="27">
      <c r="A27" t="inlineStr">
        <is>
          <t>Sustained annual benefit ($B/yr)</t>
        </is>
      </c>
      <c r="B27" s="43">
        <f>B25+B26/1000</f>
        <v/>
      </c>
      <c r="C27" s="43">
        <f>C25+C26/1000</f>
        <v/>
      </c>
      <c r="D27" s="3" t="inlineStr">
        <is>
          <t>avoided + opex savings</t>
        </is>
      </c>
    </row>
    <row r="28">
      <c r="A28" s="7" t="inlineStr">
        <is>
          <t>Capitalized value ($B)</t>
        </is>
      </c>
      <c r="B28" s="44">
        <f>B27/Inputs!$B$6</f>
        <v/>
      </c>
      <c r="C28" s="44">
        <f>C27/Inputs!$B$6</f>
        <v/>
      </c>
      <c r="D28" s="3" t="inlineStr">
        <is>
          <t>benefit / discount rate</t>
        </is>
      </c>
    </row>
    <row r="29">
      <c r="A29" t="inlineStr">
        <is>
          <t>% of market cap</t>
        </is>
      </c>
      <c r="B29" s="25">
        <f>B28/$B$7</f>
        <v/>
      </c>
      <c r="C29" s="25">
        <f>C28/$B$7</f>
        <v/>
      </c>
      <c r="D29" s="3" t="inlineStr"/>
    </row>
    <row r="31">
      <c r="A31" s="34" t="inlineStr">
        <is>
          <t>AI ECONOMICS (cash basis: AI revenue - AI capex - AI opex)</t>
        </is>
      </c>
      <c r="B31" s="35" t="n"/>
      <c r="C31" s="35" t="n"/>
      <c r="D31" s="35" t="n"/>
    </row>
    <row r="32">
      <c r="A32" t="inlineStr">
        <is>
          <t>AI revenue ($B)</t>
        </is>
      </c>
      <c r="B32" s="37" t="n">
        <v>12</v>
      </c>
      <c r="C32" s="37" t="n">
        <v>22</v>
      </c>
      <c r="D32" s="3" t="inlineStr">
        <is>
          <t>ESTIMATE (see Methodology). MSFT $37B &amp; Amazon $15B run-rates disclosed; Google/Meta/SpaceX estimated.</t>
        </is>
      </c>
    </row>
    <row r="33">
      <c r="A33" t="inlineStr">
        <is>
          <t>AI capex ($B)</t>
        </is>
      </c>
      <c r="B33" s="39">
        <f>B10</f>
        <v/>
      </c>
      <c r="C33" s="39">
        <f>C10</f>
        <v/>
      </c>
      <c r="D33" s="3" t="inlineStr">
        <is>
          <t>AI-infra capex (full: accel + buildings + power + net)</t>
        </is>
      </c>
    </row>
    <row r="34">
      <c r="A34" t="inlineStr">
        <is>
          <t>AI opex ($B)</t>
        </is>
      </c>
      <c r="B34" s="39">
        <f>B20/1000</f>
        <v/>
      </c>
      <c r="C34" s="39">
        <f>C20/1000</f>
        <v/>
      </c>
      <c r="D34" s="3" t="inlineStr">
        <is>
          <t>annual power/operating</t>
        </is>
      </c>
    </row>
    <row r="35">
      <c r="A35" s="7" t="inlineStr">
        <is>
          <t>Net AI NOW ($B)</t>
        </is>
      </c>
      <c r="B35" s="40">
        <f>B32-B33-B34</f>
        <v/>
      </c>
      <c r="C35" s="40">
        <f>C32-C33-C34</f>
        <v/>
      </c>
      <c r="D35" s="3" t="inlineStr">
        <is>
          <t>revenue - capex - opex (cash burn)</t>
        </is>
      </c>
    </row>
    <row r="36">
      <c r="A36" t="inlineStr">
        <is>
          <t>Spend cut, our arch ($B)</t>
        </is>
      </c>
      <c r="B36" s="39">
        <f>B27</f>
        <v/>
      </c>
      <c r="C36" s="39">
        <f>C27</f>
        <v/>
      </c>
      <c r="D36" s="3" t="inlineStr">
        <is>
          <t>accel capex avoided + opex saved</t>
        </is>
      </c>
    </row>
    <row r="37">
      <c r="A37" s="7" t="inlineStr">
        <is>
          <t>Net AI WITH our arch ($B)</t>
        </is>
      </c>
      <c r="B37" s="40">
        <f>B35+B36</f>
        <v/>
      </c>
      <c r="C37" s="40">
        <f>C35+C36</f>
        <v/>
      </c>
      <c r="D37" s="3" t="inlineStr">
        <is>
          <t>Net AI now + spend cut</t>
        </is>
      </c>
    </row>
    <row r="38">
      <c r="A38" t="inlineStr">
        <is>
          <t>% AI spend reduction</t>
        </is>
      </c>
      <c r="B38" s="14">
        <f>B36/(B33+B34)</f>
        <v/>
      </c>
      <c r="C38" s="14">
        <f>C36/(C33+C34)</f>
        <v/>
      </c>
      <c r="D38" s="3" t="inlineStr">
        <is>
          <t>spend cut / total AI spend (accel-only; upside if DC scales)</t>
        </is>
      </c>
    </row>
    <row r="40">
      <c r="A40" s="34" t="inlineStr">
        <is>
          <t>SOURCES &amp; REFERENCES</t>
        </is>
      </c>
      <c r="B40" s="35" t="n"/>
      <c r="C40" s="35" t="n"/>
      <c r="D40" s="35" t="n"/>
    </row>
    <row r="41">
      <c r="A41" s="3" t="inlineStr">
        <is>
          <t>FY25 cash capex $128.3B; AWS 67.8% of net P&amp;E adds; server life 6-&gt;5yr (FY25 10-K)</t>
        </is>
      </c>
      <c r="B41" s="45" t="inlineStr">
        <is>
          <t>https://www.sec.gov/Archives/edgar/data/1018724/000101872426000004/amzn-20251231.htm</t>
        </is>
      </c>
    </row>
    <row r="42">
      <c r="A42" s="3" t="inlineStr">
        <is>
          <t>~$200B 2026 capex, 'predominantly AWS' (Q4'25 call)</t>
        </is>
      </c>
      <c r="B42" s="45" t="inlineStr">
        <is>
          <t>https://www.fool.com/earnings/call-transcripts/2026/02/05/amazon-amzn-q4-2025-earnings-call-transcript/</t>
        </is>
      </c>
    </row>
    <row r="43">
      <c r="A43" s="3" t="inlineStr">
        <is>
          <t>AWS AI revenue &gt;$15B annual run-rate (Q1'26, Jassy)</t>
        </is>
      </c>
      <c r="B43" s="45" t="inlineStr">
        <is>
          <t>https://www.bnnbloomberg.ca/business/artificial-intelligence/2026/04/09/amazon-cloud-units-ai-revenue-run-rate-exceeds-us15-billion-in-first-quarter-ceo-says/</t>
        </is>
      </c>
    </row>
  </sheetData>
  <mergeCells count="3">
    <mergeCell ref="B42:D42"/>
    <mergeCell ref="B41:D41"/>
    <mergeCell ref="B43:D43"/>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D45"/>
  <sheetViews>
    <sheetView workbookViewId="0">
      <selection activeCell="A1" sqref="A1"/>
    </sheetView>
  </sheetViews>
  <sheetFormatPr baseColWidth="8" defaultRowHeight="15"/>
  <cols>
    <col width="34" customWidth="1" min="1" max="1"/>
    <col width="12" customWidth="1" min="2" max="2"/>
    <col width="12" customWidth="1" min="3" max="3"/>
    <col width="54" customWidth="1" min="4" max="4"/>
  </cols>
  <sheetData>
    <row r="1">
      <c r="A1" s="34" t="inlineStr">
        <is>
          <t>Meta — accelerator capex &amp; value (FY2025 actual + FY2026 estimate)</t>
        </is>
      </c>
      <c r="B1" s="35" t="n"/>
      <c r="C1" s="35" t="n"/>
      <c r="D1" s="35" t="n"/>
    </row>
    <row r="2">
      <c r="A2" s="7" t="inlineStr">
        <is>
          <t>Metric</t>
        </is>
      </c>
      <c r="B2" s="7" t="inlineStr">
        <is>
          <t>FY2025</t>
        </is>
      </c>
      <c r="C2" s="7" t="inlineStr">
        <is>
          <t>FY2026</t>
        </is>
      </c>
      <c r="D2" s="7" t="inlineStr">
        <is>
          <t>basis / source</t>
        </is>
      </c>
    </row>
    <row r="3">
      <c r="A3" t="inlineStr">
        <is>
          <t>Total capex ($B)</t>
        </is>
      </c>
      <c r="B3" s="36" t="n">
        <v>72.2</v>
      </c>
      <c r="C3" s="37" t="n">
        <v>137.5</v>
      </c>
      <c r="D3" s="3" t="inlineStr">
        <is>
          <t>FY25 capex incl leases $72.2B [DISCLOSED]; FY26 $130-145B guide (mid 137.5). Accel ~74% [BOM]. AI rev DIRECT est ~$4B -- Meta's real AI payoff is INDIRECT ad-uplift (~$20B), not counted.</t>
        </is>
      </c>
    </row>
    <row r="4">
      <c r="A4" t="inlineStr">
        <is>
          <t>Infra / data-center share</t>
        </is>
      </c>
      <c r="B4" s="33" t="n">
        <v>0.95</v>
      </c>
      <c r="C4" s="33" t="n">
        <v>0.98</v>
      </c>
      <c r="D4" s="3" t="inlineStr">
        <is>
          <t>FILING: Note 6 P&amp;E. Leasehold improvements + equipment and other are $3.3B of $69.1B gross additions in 2025 (10-K) -&gt; 95%; $0.95B of $59.1B in H1 2026 (10-Q) -&gt; 98%.</t>
        </is>
      </c>
    </row>
    <row r="5">
      <c r="A5" t="inlineStr">
        <is>
          <t>Server / short-lived share</t>
        </is>
      </c>
      <c r="B5" s="33" t="n">
        <v>0.65</v>
      </c>
      <c r="C5" s="33" t="n">
        <v>0.65</v>
      </c>
      <c r="D5" s="3" t="inlineStr">
        <is>
          <t>CFO-disclosed (MSFT rose 50%-&gt;67%)</t>
        </is>
      </c>
    </row>
    <row r="6">
      <c r="A6" t="inlineStr">
        <is>
          <t>Accelerator share within servers</t>
        </is>
      </c>
      <c r="B6" s="33" t="n">
        <v>0.74</v>
      </c>
      <c r="C6" s="33" t="n">
        <v>0.74</v>
      </c>
      <c r="D6" s="3" t="inlineStr">
        <is>
          <t>from BOM teardowns (~67-80%)</t>
        </is>
      </c>
    </row>
    <row r="7">
      <c r="A7" t="inlineStr">
        <is>
          <t>Market cap ($B, approx)</t>
        </is>
      </c>
      <c r="B7" s="38" t="n">
        <v>1490</v>
      </c>
      <c r="D7" s="3" t="inlineStr">
        <is>
          <t>approximate June 2026 market data -- edit</t>
        </is>
      </c>
    </row>
    <row r="9">
      <c r="A9" s="34" t="inlineStr">
        <is>
          <t>DERIVATION</t>
        </is>
      </c>
      <c r="B9" s="35" t="n"/>
      <c r="C9" s="35" t="n"/>
      <c r="D9" s="35" t="n"/>
    </row>
    <row r="10">
      <c r="A10" t="inlineStr">
        <is>
          <t>AI-infra capex ($B)</t>
        </is>
      </c>
      <c r="B10" s="39">
        <f>B3*B4</f>
        <v/>
      </c>
      <c r="C10" s="39">
        <f>C3*C4</f>
        <v/>
      </c>
      <c r="D10" s="3" t="inlineStr">
        <is>
          <t>total x infra share</t>
        </is>
      </c>
    </row>
    <row r="11">
      <c r="A11" t="inlineStr">
        <is>
          <t>Server bucket ($B)</t>
        </is>
      </c>
      <c r="B11" s="39">
        <f>B10*B5</f>
        <v/>
      </c>
      <c r="C11" s="39">
        <f>C10*C5</f>
        <v/>
      </c>
      <c r="D11" s="3" t="inlineStr">
        <is>
          <t>infra x server share</t>
        </is>
      </c>
    </row>
    <row r="12">
      <c r="A12" s="7" t="inlineStr">
        <is>
          <t>ACCELERATOR capex ($B)</t>
        </is>
      </c>
      <c r="B12" s="40">
        <f>B11*B6</f>
        <v/>
      </c>
      <c r="C12" s="40">
        <f>C11*C6</f>
        <v/>
      </c>
      <c r="D12" s="3" t="inlineStr">
        <is>
          <t>server x accel share</t>
        </is>
      </c>
    </row>
    <row r="13">
      <c r="A13" t="inlineStr">
        <is>
          <t>Accel % of total capex</t>
        </is>
      </c>
      <c r="B13" s="14">
        <f>B12/B3</f>
        <v/>
      </c>
      <c r="C13" s="14">
        <f>C12/C3</f>
        <v/>
      </c>
      <c r="D13" s="3" t="inlineStr">
        <is>
          <t>varies across companies</t>
        </is>
      </c>
    </row>
    <row r="15">
      <c r="A15" s="34" t="inlineStr">
        <is>
          <t>FLEET &amp; OPERATING COST (from accelerator capex)</t>
        </is>
      </c>
      <c r="B15" s="35" t="n"/>
      <c r="C15" s="35" t="n"/>
      <c r="D15" s="35" t="n"/>
    </row>
    <row r="16">
      <c r="A16" t="inlineStr">
        <is>
          <t>Fleet size (GPU-equiv)</t>
        </is>
      </c>
      <c r="B16" s="41">
        <f>B12*1000000000/Inputs!$B$7</f>
        <v/>
      </c>
      <c r="C16" s="41">
        <f>C12*1000000000/Inputs!$B$7</f>
        <v/>
      </c>
      <c r="D16" s="3" t="inlineStr">
        <is>
          <t>accel capex / $ per GPU</t>
        </is>
      </c>
    </row>
    <row r="17">
      <c r="A17" t="inlineStr">
        <is>
          <t>Total wall power (MW)</t>
        </is>
      </c>
      <c r="B17" s="41">
        <f>B16*Inputs!$B$8/1000</f>
        <v/>
      </c>
      <c r="C17" s="41">
        <f>C16*Inputs!$B$8/1000</f>
        <v/>
      </c>
      <c r="D17" s="3" t="inlineStr">
        <is>
          <t>GPUs x kW</t>
        </is>
      </c>
    </row>
    <row r="18">
      <c r="A18" t="inlineStr">
        <is>
          <t>Daily energy (MWh)</t>
        </is>
      </c>
      <c r="B18" s="41">
        <f>B17*24</f>
        <v/>
      </c>
      <c r="C18" s="41">
        <f>C17*24</f>
        <v/>
      </c>
      <c r="D18" s="3" t="inlineStr"/>
    </row>
    <row r="19">
      <c r="A19" t="inlineStr">
        <is>
          <t>Daily all-in opex ($/day)</t>
        </is>
      </c>
      <c r="B19" s="41">
        <f>B18*1000*Inputs!$B$9*(1+Inputs!$B$10)</f>
        <v/>
      </c>
      <c r="C19" s="41">
        <f>C18*1000*Inputs!$B$9*(1+Inputs!$B$10)</f>
        <v/>
      </c>
      <c r="D19" s="3" t="inlineStr">
        <is>
          <t>MWh x rate x (1+overhead)</t>
        </is>
      </c>
    </row>
    <row r="20">
      <c r="A20" t="inlineStr">
        <is>
          <t>Annual opex ($M)</t>
        </is>
      </c>
      <c r="B20" s="39">
        <f>B19*365/1000000</f>
        <v/>
      </c>
      <c r="C20" s="39">
        <f>C19*365/1000000</f>
        <v/>
      </c>
      <c r="D20" s="3" t="inlineStr"/>
    </row>
    <row r="21">
      <c r="A21" t="inlineStr">
        <is>
          <t>Lifetime opex ($B)</t>
        </is>
      </c>
      <c r="B21" s="42">
        <f>B20*Inputs!$B$11/1000</f>
        <v/>
      </c>
      <c r="C21" s="42">
        <f>C20*Inputs!$B$11/1000</f>
        <v/>
      </c>
      <c r="D21" s="3" t="inlineStr"/>
    </row>
    <row r="23">
      <c r="A23" s="34" t="inlineStr">
        <is>
          <t>EFFICIENT VERSION &amp; VALUE</t>
        </is>
      </c>
      <c r="B23" s="35" t="n"/>
      <c r="C23" s="35" t="n"/>
      <c r="D23" s="35" t="n"/>
    </row>
    <row r="24">
      <c r="A24" t="inlineStr">
        <is>
          <t>Efficient AI capex ($B)</t>
        </is>
      </c>
      <c r="B24" s="39">
        <f>B10-B25</f>
        <v/>
      </c>
      <c r="C24" s="39">
        <f>C10-C25</f>
        <v/>
      </c>
      <c r="D24" s="3" t="inlineStr">
        <is>
          <t>AI capex - avoided</t>
        </is>
      </c>
    </row>
    <row r="25">
      <c r="A25" t="inlineStr">
        <is>
          <t>Capex avoided/yr ($B)</t>
        </is>
      </c>
      <c r="B25" s="39">
        <f>(B12+(B10-B12)*Inputs!$B$13)*(1-1/Inputs!$B$20)</f>
        <v/>
      </c>
      <c r="C25" s="39">
        <f>(C12+(C10-C12)*Inputs!$B$13)*(1-1/Inputs!$B$20)</f>
        <v/>
      </c>
      <c r="D25" s="3" t="inlineStr">
        <is>
          <t>accel + (datacenter x dc-scale), all x (1-1/reduction)</t>
        </is>
      </c>
    </row>
    <row r="26">
      <c r="A26" t="inlineStr">
        <is>
          <t>Annual opex savings ($M)</t>
        </is>
      </c>
      <c r="B26" s="39">
        <f>B20*(1-1/Inputs!$B$5)</f>
        <v/>
      </c>
      <c r="C26" s="39">
        <f>C20*(1-1/Inputs!$B$5)</f>
        <v/>
      </c>
      <c r="D26" s="3" t="inlineStr"/>
    </row>
    <row r="27">
      <c r="A27" t="inlineStr">
        <is>
          <t>Sustained annual benefit ($B/yr)</t>
        </is>
      </c>
      <c r="B27" s="43">
        <f>B25+B26/1000</f>
        <v/>
      </c>
      <c r="C27" s="43">
        <f>C25+C26/1000</f>
        <v/>
      </c>
      <c r="D27" s="3" t="inlineStr">
        <is>
          <t>avoided + opex savings</t>
        </is>
      </c>
    </row>
    <row r="28">
      <c r="A28" s="7" t="inlineStr">
        <is>
          <t>Capitalized value ($B)</t>
        </is>
      </c>
      <c r="B28" s="44">
        <f>B27/Inputs!$B$6</f>
        <v/>
      </c>
      <c r="C28" s="44">
        <f>C27/Inputs!$B$6</f>
        <v/>
      </c>
      <c r="D28" s="3" t="inlineStr">
        <is>
          <t>benefit / discount rate</t>
        </is>
      </c>
    </row>
    <row r="29">
      <c r="A29" t="inlineStr">
        <is>
          <t>% of market cap</t>
        </is>
      </c>
      <c r="B29" s="25">
        <f>B28/$B$7</f>
        <v/>
      </c>
      <c r="C29" s="25">
        <f>C28/$B$7</f>
        <v/>
      </c>
      <c r="D29" s="3" t="inlineStr"/>
    </row>
    <row r="31">
      <c r="A31" s="34" t="inlineStr">
        <is>
          <t>AI ECONOMICS (cash basis: AI revenue - AI capex - AI opex)</t>
        </is>
      </c>
      <c r="B31" s="35" t="n"/>
      <c r="C31" s="35" t="n"/>
      <c r="D31" s="35" t="n"/>
    </row>
    <row r="32">
      <c r="A32" t="inlineStr">
        <is>
          <t>AI revenue ($B)</t>
        </is>
      </c>
      <c r="B32" s="37" t="n">
        <v>4</v>
      </c>
      <c r="C32" s="37" t="n">
        <v>8</v>
      </c>
      <c r="D32" s="3" t="inlineStr">
        <is>
          <t>ESTIMATE (see Methodology). MSFT $37B &amp; Amazon $15B run-rates disclosed; Google/Meta/SpaceX estimated.</t>
        </is>
      </c>
    </row>
    <row r="33">
      <c r="A33" t="inlineStr">
        <is>
          <t>AI capex ($B)</t>
        </is>
      </c>
      <c r="B33" s="39">
        <f>B10</f>
        <v/>
      </c>
      <c r="C33" s="39">
        <f>C10</f>
        <v/>
      </c>
      <c r="D33" s="3" t="inlineStr">
        <is>
          <t>AI-infra capex (full: accel + buildings + power + net)</t>
        </is>
      </c>
    </row>
    <row r="34">
      <c r="A34" t="inlineStr">
        <is>
          <t>AI opex ($B)</t>
        </is>
      </c>
      <c r="B34" s="39">
        <f>B20/1000</f>
        <v/>
      </c>
      <c r="C34" s="39">
        <f>C20/1000</f>
        <v/>
      </c>
      <c r="D34" s="3" t="inlineStr">
        <is>
          <t>annual power/operating</t>
        </is>
      </c>
    </row>
    <row r="35">
      <c r="A35" s="7" t="inlineStr">
        <is>
          <t>Net AI NOW ($B)</t>
        </is>
      </c>
      <c r="B35" s="40">
        <f>B32-B33-B34</f>
        <v/>
      </c>
      <c r="C35" s="40">
        <f>C32-C33-C34</f>
        <v/>
      </c>
      <c r="D35" s="3" t="inlineStr">
        <is>
          <t>revenue - capex - opex (cash burn)</t>
        </is>
      </c>
    </row>
    <row r="36">
      <c r="A36" t="inlineStr">
        <is>
          <t>Spend cut, our arch ($B)</t>
        </is>
      </c>
      <c r="B36" s="39">
        <f>B27</f>
        <v/>
      </c>
      <c r="C36" s="39">
        <f>C27</f>
        <v/>
      </c>
      <c r="D36" s="3" t="inlineStr">
        <is>
          <t>accel capex avoided + opex saved</t>
        </is>
      </c>
    </row>
    <row r="37">
      <c r="A37" s="7" t="inlineStr">
        <is>
          <t>Net AI WITH our arch ($B)</t>
        </is>
      </c>
      <c r="B37" s="40">
        <f>B35+B36</f>
        <v/>
      </c>
      <c r="C37" s="40">
        <f>C35+C36</f>
        <v/>
      </c>
      <c r="D37" s="3" t="inlineStr">
        <is>
          <t>Net AI now + spend cut</t>
        </is>
      </c>
    </row>
    <row r="38">
      <c r="A38" t="inlineStr">
        <is>
          <t>% AI spend reduction</t>
        </is>
      </c>
      <c r="B38" s="14">
        <f>B36/(B33+B34)</f>
        <v/>
      </c>
      <c r="C38" s="14">
        <f>C36/(C33+C34)</f>
        <v/>
      </c>
      <c r="D38" s="3" t="inlineStr">
        <is>
          <t>spend cut / total AI spend (accel-only; upside if DC scales)</t>
        </is>
      </c>
    </row>
    <row r="40">
      <c r="A40" s="34" t="inlineStr">
        <is>
          <t>SOURCES &amp; REFERENCES</t>
        </is>
      </c>
      <c r="B40" s="35" t="n"/>
      <c r="C40" s="35" t="n"/>
      <c r="D40" s="35" t="n"/>
    </row>
    <row r="41">
      <c r="A41" s="3" t="inlineStr">
        <is>
          <t>FY25 capex $72.2B incl finance leases (Q4/FY25 release)</t>
        </is>
      </c>
      <c r="B41" s="45" t="inlineStr">
        <is>
          <t>https://investor.atmeta.com/investor-news/press-release-details/2026/Meta-Reports-Fourth-Quarter-and-Full-Year-2025-Results/default.aspx</t>
        </is>
      </c>
    </row>
    <row r="42">
      <c r="A42" s="3" t="inlineStr">
        <is>
          <t>FY26 $125-145B guide; raise driven by HBM pricing (Q1'26 call)</t>
        </is>
      </c>
      <c r="B42" s="45" t="inlineStr">
        <is>
          <t>https://www.fool.com/earnings/call-transcripts/2026/04/29/meta-meta-q1-2026-earnings-call-transcript/</t>
        </is>
      </c>
    </row>
    <row r="43">
      <c r="A43" s="3" t="inlineStr">
        <is>
          <t>&gt;1.3M GPUs by end-2025 (Zuckerberg) - cross-checks accel capex</t>
        </is>
      </c>
      <c r="B43" s="45" t="inlineStr">
        <is>
          <t>https://techcrunch.com/2025/01/24/mark-zuckerberg-says-meta-will-have-1-3m-gpus-for-ai-by-year-end/</t>
        </is>
      </c>
    </row>
    <row r="44">
      <c r="A44" s="3" t="inlineStr">
        <is>
          <t>Server life 5.5yr (-$2.9B depreciation)</t>
        </is>
      </c>
      <c r="B44" s="45" t="inlineStr">
        <is>
          <t>https://www.thestack.technology/meta-extends-server-life-again-saving-it-2-9-billion/</t>
        </is>
      </c>
    </row>
    <row r="45">
      <c r="A45" s="3" t="inlineStr">
        <is>
          <t>~25% of capex to NVIDIA (Bloomberg) - accel-share basis</t>
        </is>
      </c>
      <c r="B45" s="45" t="inlineStr">
        <is>
          <t>https://finance.yahoo.com/news/big-techs-spending-drove-nvidias-rise-154027146.html</t>
        </is>
      </c>
    </row>
  </sheetData>
  <mergeCells count="5">
    <mergeCell ref="B42:D42"/>
    <mergeCell ref="B45:D45"/>
    <mergeCell ref="B41:D41"/>
    <mergeCell ref="B44:D44"/>
    <mergeCell ref="B43:D43"/>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 xmlns:r="http://schemas.openxmlformats.org/officeDocument/2006/relationships" ref="B44" r:id="rId4"/>
    <hyperlink xmlns:r="http://schemas.openxmlformats.org/officeDocument/2006/relationships" ref="B45" r:id="rId5"/>
  </hyperlinks>
  <pageMargins left="0.75" right="0.75" top="1" bottom="1" header="0.5" footer="0.5"/>
</worksheet>
</file>

<file path=xl/worksheets/sheet8.xml><?xml version="1.0" encoding="utf-8"?>
<worksheet xmlns="http://schemas.openxmlformats.org/spreadsheetml/2006/main">
  <sheetPr>
    <tabColor rgb="0070AD47"/>
    <outlinePr summaryBelow="1" summaryRight="1"/>
    <pageSetUpPr/>
  </sheetPr>
  <dimension ref="A1:D43"/>
  <sheetViews>
    <sheetView workbookViewId="0">
      <selection activeCell="A1" sqref="A1"/>
    </sheetView>
  </sheetViews>
  <sheetFormatPr baseColWidth="8" defaultRowHeight="15"/>
  <cols>
    <col width="34" customWidth="1" min="1" max="1"/>
    <col width="12" customWidth="1" min="2" max="2"/>
    <col width="12" customWidth="1" min="3" max="3"/>
    <col width="54" customWidth="1" min="4" max="4"/>
  </cols>
  <sheetData>
    <row r="1">
      <c r="A1" s="34" t="inlineStr">
        <is>
          <t>Oracle — accelerator capex &amp; value (FY2025 actual + FY2026 estimate)</t>
        </is>
      </c>
      <c r="B1" s="35" t="n"/>
      <c r="C1" s="35" t="n"/>
      <c r="D1" s="35" t="n"/>
    </row>
    <row r="2">
      <c r="A2" s="7" t="inlineStr">
        <is>
          <t>Metric</t>
        </is>
      </c>
      <c r="B2" s="7" t="inlineStr">
        <is>
          <t>FY2025</t>
        </is>
      </c>
      <c r="C2" s="7" t="inlineStr">
        <is>
          <t>FY2026</t>
        </is>
      </c>
      <c r="D2" s="7" t="inlineStr">
        <is>
          <t>basis / source</t>
        </is>
      </c>
    </row>
    <row r="3">
      <c r="A3" t="inlineStr">
        <is>
          <t>Total capex ($B)</t>
        </is>
      </c>
      <c r="B3" s="36" t="n">
        <v>21.2</v>
      </c>
      <c r="C3" s="37" t="n">
        <v>55.7</v>
      </c>
      <c r="D3" s="3" t="inlineStr">
        <is>
          <t>FY25 capex $21.2B [DISCLOSED 10-K]; FY26 ACTUAL $55.7B (reported 2026-06-10; FY27 guide ~$70B net / up to $95B gross). Capex ~all OCI/GPU data centers. Accel ~70% [BOM]. AI rev = OCI/GPU cloud (IaaS ~$12B r/r Q4 FY25; AI subset, EST).</t>
        </is>
      </c>
    </row>
    <row r="4">
      <c r="A4" t="inlineStr">
        <is>
          <t>Infra / data-center share</t>
        </is>
      </c>
      <c r="B4" s="33" t="n">
        <v>0.85</v>
      </c>
      <c r="C4" s="33" t="n">
        <v>0.9</v>
      </c>
      <c r="D4" s="3" t="inlineStr">
        <is>
          <t>ESTIMATE: the P&amp;E note has no office line (buildings mix datacenters with the Nashville HQ build); capex growth is 'primarily due to the expansion of our data centers' (FY26 10-K).</t>
        </is>
      </c>
    </row>
    <row r="5">
      <c r="A5" t="inlineStr">
        <is>
          <t>Server / short-lived share</t>
        </is>
      </c>
      <c r="B5" s="33" t="n">
        <v>0.75</v>
      </c>
      <c r="C5" s="33" t="n">
        <v>0.75</v>
      </c>
      <c r="D5" s="3" t="inlineStr">
        <is>
          <t>CFO-disclosed (MSFT rose 50%-&gt;67%)</t>
        </is>
      </c>
    </row>
    <row r="6">
      <c r="A6" t="inlineStr">
        <is>
          <t>Accelerator share within servers</t>
        </is>
      </c>
      <c r="B6" s="33" t="n">
        <v>0.7</v>
      </c>
      <c r="C6" s="33" t="n">
        <v>0.7</v>
      </c>
      <c r="D6" s="3" t="inlineStr">
        <is>
          <t>from BOM teardowns (~67-80%)</t>
        </is>
      </c>
    </row>
    <row r="7">
      <c r="A7" t="inlineStr">
        <is>
          <t>Market cap ($B, approx)</t>
        </is>
      </c>
      <c r="B7" s="38" t="n">
        <v>433</v>
      </c>
      <c r="D7" s="3" t="inlineStr">
        <is>
          <t>approximate June 2026 market data -- edit</t>
        </is>
      </c>
    </row>
    <row r="9">
      <c r="A9" s="34" t="inlineStr">
        <is>
          <t>DERIVATION</t>
        </is>
      </c>
      <c r="B9" s="35" t="n"/>
      <c r="C9" s="35" t="n"/>
      <c r="D9" s="35" t="n"/>
    </row>
    <row r="10">
      <c r="A10" t="inlineStr">
        <is>
          <t>AI-infra capex ($B)</t>
        </is>
      </c>
      <c r="B10" s="39">
        <f>B3*B4</f>
        <v/>
      </c>
      <c r="C10" s="39">
        <f>C3*C4</f>
        <v/>
      </c>
      <c r="D10" s="3" t="inlineStr">
        <is>
          <t>total x infra share</t>
        </is>
      </c>
    </row>
    <row r="11">
      <c r="A11" t="inlineStr">
        <is>
          <t>Server bucket ($B)</t>
        </is>
      </c>
      <c r="B11" s="39">
        <f>B10*B5</f>
        <v/>
      </c>
      <c r="C11" s="39">
        <f>C10*C5</f>
        <v/>
      </c>
      <c r="D11" s="3" t="inlineStr">
        <is>
          <t>infra x server share</t>
        </is>
      </c>
    </row>
    <row r="12">
      <c r="A12" s="7" t="inlineStr">
        <is>
          <t>ACCELERATOR capex ($B)</t>
        </is>
      </c>
      <c r="B12" s="40">
        <f>B11*B6</f>
        <v/>
      </c>
      <c r="C12" s="40">
        <f>C11*C6</f>
        <v/>
      </c>
      <c r="D12" s="3" t="inlineStr">
        <is>
          <t>server x accel share</t>
        </is>
      </c>
    </row>
    <row r="13">
      <c r="A13" t="inlineStr">
        <is>
          <t>Accel % of total capex</t>
        </is>
      </c>
      <c r="B13" s="14">
        <f>B12/B3</f>
        <v/>
      </c>
      <c r="C13" s="14">
        <f>C12/C3</f>
        <v/>
      </c>
      <c r="D13" s="3" t="inlineStr">
        <is>
          <t>varies across companies</t>
        </is>
      </c>
    </row>
    <row r="15">
      <c r="A15" s="34" t="inlineStr">
        <is>
          <t>FLEET &amp; OPERATING COST (from accelerator capex)</t>
        </is>
      </c>
      <c r="B15" s="35" t="n"/>
      <c r="C15" s="35" t="n"/>
      <c r="D15" s="35" t="n"/>
    </row>
    <row r="16">
      <c r="A16" t="inlineStr">
        <is>
          <t>Fleet size (GPU-equiv)</t>
        </is>
      </c>
      <c r="B16" s="41">
        <f>B12*1000000000/Inputs!$B$7</f>
        <v/>
      </c>
      <c r="C16" s="41">
        <f>C12*1000000000/Inputs!$B$7</f>
        <v/>
      </c>
      <c r="D16" s="3" t="inlineStr">
        <is>
          <t>accel capex / $ per GPU</t>
        </is>
      </c>
    </row>
    <row r="17">
      <c r="A17" t="inlineStr">
        <is>
          <t>Total wall power (MW)</t>
        </is>
      </c>
      <c r="B17" s="41">
        <f>B16*Inputs!$B$8/1000</f>
        <v/>
      </c>
      <c r="C17" s="41">
        <f>C16*Inputs!$B$8/1000</f>
        <v/>
      </c>
      <c r="D17" s="3" t="inlineStr">
        <is>
          <t>GPUs x kW</t>
        </is>
      </c>
    </row>
    <row r="18">
      <c r="A18" t="inlineStr">
        <is>
          <t>Daily energy (MWh)</t>
        </is>
      </c>
      <c r="B18" s="41">
        <f>B17*24</f>
        <v/>
      </c>
      <c r="C18" s="41">
        <f>C17*24</f>
        <v/>
      </c>
      <c r="D18" s="3" t="inlineStr"/>
    </row>
    <row r="19">
      <c r="A19" t="inlineStr">
        <is>
          <t>Daily all-in opex ($/day)</t>
        </is>
      </c>
      <c r="B19" s="41">
        <f>B18*1000*Inputs!$B$9*(1+Inputs!$B$10)</f>
        <v/>
      </c>
      <c r="C19" s="41">
        <f>C18*1000*Inputs!$B$9*(1+Inputs!$B$10)</f>
        <v/>
      </c>
      <c r="D19" s="3" t="inlineStr">
        <is>
          <t>MWh x rate x (1+overhead)</t>
        </is>
      </c>
    </row>
    <row r="20">
      <c r="A20" t="inlineStr">
        <is>
          <t>Annual opex ($M)</t>
        </is>
      </c>
      <c r="B20" s="39">
        <f>B19*365/1000000</f>
        <v/>
      </c>
      <c r="C20" s="39">
        <f>C19*365/1000000</f>
        <v/>
      </c>
      <c r="D20" s="3" t="inlineStr"/>
    </row>
    <row r="21">
      <c r="A21" t="inlineStr">
        <is>
          <t>Lifetime opex ($B)</t>
        </is>
      </c>
      <c r="B21" s="42">
        <f>B20*Inputs!$B$11/1000</f>
        <v/>
      </c>
      <c r="C21" s="42">
        <f>C20*Inputs!$B$11/1000</f>
        <v/>
      </c>
      <c r="D21" s="3" t="inlineStr"/>
    </row>
    <row r="23">
      <c r="A23" s="34" t="inlineStr">
        <is>
          <t>EFFICIENT VERSION &amp; VALUE</t>
        </is>
      </c>
      <c r="B23" s="35" t="n"/>
      <c r="C23" s="35" t="n"/>
      <c r="D23" s="35" t="n"/>
    </row>
    <row r="24">
      <c r="A24" t="inlineStr">
        <is>
          <t>Efficient AI capex ($B)</t>
        </is>
      </c>
      <c r="B24" s="39">
        <f>B10-B25</f>
        <v/>
      </c>
      <c r="C24" s="39">
        <f>C10-C25</f>
        <v/>
      </c>
      <c r="D24" s="3" t="inlineStr">
        <is>
          <t>AI capex - avoided</t>
        </is>
      </c>
    </row>
    <row r="25">
      <c r="A25" t="inlineStr">
        <is>
          <t>Capex avoided/yr ($B)</t>
        </is>
      </c>
      <c r="B25" s="39">
        <f>(B12+(B10-B12)*Inputs!$B$13)*(1-1/Inputs!$B$20)</f>
        <v/>
      </c>
      <c r="C25" s="39">
        <f>(C12+(C10-C12)*Inputs!$B$13)*(1-1/Inputs!$B$20)</f>
        <v/>
      </c>
      <c r="D25" s="3" t="inlineStr">
        <is>
          <t>accel + (datacenter x dc-scale), all x (1-1/reduction)</t>
        </is>
      </c>
    </row>
    <row r="26">
      <c r="A26" t="inlineStr">
        <is>
          <t>Annual opex savings ($M)</t>
        </is>
      </c>
      <c r="B26" s="39">
        <f>B20*(1-1/Inputs!$B$5)</f>
        <v/>
      </c>
      <c r="C26" s="39">
        <f>C20*(1-1/Inputs!$B$5)</f>
        <v/>
      </c>
      <c r="D26" s="3" t="inlineStr"/>
    </row>
    <row r="27">
      <c r="A27" t="inlineStr">
        <is>
          <t>Sustained annual benefit ($B/yr)</t>
        </is>
      </c>
      <c r="B27" s="43">
        <f>B25+B26/1000</f>
        <v/>
      </c>
      <c r="C27" s="43">
        <f>C25+C26/1000</f>
        <v/>
      </c>
      <c r="D27" s="3" t="inlineStr">
        <is>
          <t>avoided + opex savings</t>
        </is>
      </c>
    </row>
    <row r="28">
      <c r="A28" s="7" t="inlineStr">
        <is>
          <t>Capitalized value ($B)</t>
        </is>
      </c>
      <c r="B28" s="44">
        <f>B27/Inputs!$B$6</f>
        <v/>
      </c>
      <c r="C28" s="44">
        <f>C27/Inputs!$B$6</f>
        <v/>
      </c>
      <c r="D28" s="3" t="inlineStr">
        <is>
          <t>benefit / discount rate</t>
        </is>
      </c>
    </row>
    <row r="29">
      <c r="A29" t="inlineStr">
        <is>
          <t>% of market cap</t>
        </is>
      </c>
      <c r="B29" s="25">
        <f>B28/$B$7</f>
        <v/>
      </c>
      <c r="C29" s="25">
        <f>C28/$B$7</f>
        <v/>
      </c>
      <c r="D29" s="3" t="inlineStr"/>
    </row>
    <row r="31">
      <c r="A31" s="34" t="inlineStr">
        <is>
          <t>AI ECONOMICS (cash basis: AI revenue - AI capex - AI opex)</t>
        </is>
      </c>
      <c r="B31" s="35" t="n"/>
      <c r="C31" s="35" t="n"/>
      <c r="D31" s="35" t="n"/>
    </row>
    <row r="32">
      <c r="A32" t="inlineStr">
        <is>
          <t>AI revenue ($B)</t>
        </is>
      </c>
      <c r="B32" s="37" t="n">
        <v>8</v>
      </c>
      <c r="C32" s="37" t="n">
        <v>15</v>
      </c>
      <c r="D32" s="3" t="inlineStr">
        <is>
          <t>ESTIMATE (see Methodology). MSFT $37B &amp; Amazon $15B run-rates disclosed; Google/Meta/SpaceX estimated.</t>
        </is>
      </c>
    </row>
    <row r="33">
      <c r="A33" t="inlineStr">
        <is>
          <t>AI capex ($B)</t>
        </is>
      </c>
      <c r="B33" s="39">
        <f>B10</f>
        <v/>
      </c>
      <c r="C33" s="39">
        <f>C10</f>
        <v/>
      </c>
      <c r="D33" s="3" t="inlineStr">
        <is>
          <t>AI-infra capex (full: accel + buildings + power + net)</t>
        </is>
      </c>
    </row>
    <row r="34">
      <c r="A34" t="inlineStr">
        <is>
          <t>AI opex ($B)</t>
        </is>
      </c>
      <c r="B34" s="39">
        <f>B20/1000</f>
        <v/>
      </c>
      <c r="C34" s="39">
        <f>C20/1000</f>
        <v/>
      </c>
      <c r="D34" s="3" t="inlineStr">
        <is>
          <t>annual power/operating</t>
        </is>
      </c>
    </row>
    <row r="35">
      <c r="A35" s="7" t="inlineStr">
        <is>
          <t>Net AI NOW ($B)</t>
        </is>
      </c>
      <c r="B35" s="40">
        <f>B32-B33-B34</f>
        <v/>
      </c>
      <c r="C35" s="40">
        <f>C32-C33-C34</f>
        <v/>
      </c>
      <c r="D35" s="3" t="inlineStr">
        <is>
          <t>revenue - capex - opex (cash burn)</t>
        </is>
      </c>
    </row>
    <row r="36">
      <c r="A36" t="inlineStr">
        <is>
          <t>Spend cut, our arch ($B)</t>
        </is>
      </c>
      <c r="B36" s="39">
        <f>B27</f>
        <v/>
      </c>
      <c r="C36" s="39">
        <f>C27</f>
        <v/>
      </c>
      <c r="D36" s="3" t="inlineStr">
        <is>
          <t>accel capex avoided + opex saved</t>
        </is>
      </c>
    </row>
    <row r="37">
      <c r="A37" s="7" t="inlineStr">
        <is>
          <t>Net AI WITH our arch ($B)</t>
        </is>
      </c>
      <c r="B37" s="40">
        <f>B35+B36</f>
        <v/>
      </c>
      <c r="C37" s="40">
        <f>C35+C36</f>
        <v/>
      </c>
      <c r="D37" s="3" t="inlineStr">
        <is>
          <t>Net AI now + spend cut</t>
        </is>
      </c>
    </row>
    <row r="38">
      <c r="A38" t="inlineStr">
        <is>
          <t>% AI spend reduction</t>
        </is>
      </c>
      <c r="B38" s="14">
        <f>B36/(B33+B34)</f>
        <v/>
      </c>
      <c r="C38" s="14">
        <f>C36/(C33+C34)</f>
        <v/>
      </c>
      <c r="D38" s="3" t="inlineStr">
        <is>
          <t>spend cut / total AI spend (accel-only; upside if DC scales)</t>
        </is>
      </c>
    </row>
    <row r="40">
      <c r="A40" s="34" t="inlineStr">
        <is>
          <t>SOURCES &amp; REFERENCES</t>
        </is>
      </c>
      <c r="B40" s="35" t="n"/>
      <c r="C40" s="35" t="n"/>
      <c r="D40" s="35" t="n"/>
    </row>
    <row r="41">
      <c r="A41" s="3" t="inlineStr">
        <is>
          <t>FY25 capex $21.2B; FY26 ~$50B guide on $67B rev (CIO Dive)</t>
        </is>
      </c>
      <c r="B41" s="45" t="inlineStr">
        <is>
          <t>https://www.ciodive.com/news/oracle-capex-spike-cloud-ai-data-center/807721/</t>
        </is>
      </c>
    </row>
    <row r="42">
      <c r="A42" s="3" t="inlineStr">
        <is>
          <t>OCI run-rate ~$27B exiting FY25; IaaS $3.0B Q4 +52%; RPO $138B (Q4 FY25)</t>
        </is>
      </c>
      <c r="B42" s="45" t="inlineStr">
        <is>
          <t>https://futurumgroup.com/insights/oracle-delivers-q4-fy-2025-results-with-27-cloud-growth-rpo-hits-138-billion/</t>
        </is>
      </c>
    </row>
    <row r="43">
      <c r="A43" s="3" t="inlineStr">
        <is>
          <t>FY26 OCI +77% to ~$18B; RPO $523B +433% on AI deals (Q2 FY26)</t>
        </is>
      </c>
      <c r="B43" s="45" t="inlineStr">
        <is>
          <t>https://futurumgroup.com/insights/oracle-q2-fy-2026-cloud-grows-capex-rises-for-ai-buildout/</t>
        </is>
      </c>
    </row>
  </sheetData>
  <mergeCells count="3">
    <mergeCell ref="B42:D42"/>
    <mergeCell ref="B41:D41"/>
    <mergeCell ref="B43:D43"/>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s>
  <pageMargins left="0.75" right="0.75" top="1" bottom="1" header="0.5" footer="0.5"/>
</worksheet>
</file>

<file path=xl/worksheets/sheet9.xml><?xml version="1.0" encoding="utf-8"?>
<worksheet xmlns="http://schemas.openxmlformats.org/spreadsheetml/2006/main">
  <sheetPr>
    <tabColor rgb="0070AD47"/>
    <outlinePr summaryBelow="1" summaryRight="1"/>
    <pageSetUpPr/>
  </sheetPr>
  <dimension ref="A1:D44"/>
  <sheetViews>
    <sheetView workbookViewId="0">
      <selection activeCell="A1" sqref="A1"/>
    </sheetView>
  </sheetViews>
  <sheetFormatPr baseColWidth="8" defaultRowHeight="15"/>
  <cols>
    <col width="34" customWidth="1" min="1" max="1"/>
    <col width="12" customWidth="1" min="2" max="2"/>
    <col width="12" customWidth="1" min="3" max="3"/>
    <col width="54" customWidth="1" min="4" max="4"/>
  </cols>
  <sheetData>
    <row r="1">
      <c r="A1" s="34" t="inlineStr">
        <is>
          <t>SpaceX — accelerator capex &amp; value (FY2025 actual + FY2026 estimate)</t>
        </is>
      </c>
      <c r="B1" s="35" t="n"/>
      <c r="C1" s="35" t="n"/>
      <c r="D1" s="35" t="n"/>
    </row>
    <row r="2">
      <c r="A2" s="7" t="inlineStr">
        <is>
          <t>Metric</t>
        </is>
      </c>
      <c r="B2" s="7" t="inlineStr">
        <is>
          <t>FY2025</t>
        </is>
      </c>
      <c r="C2" s="7" t="inlineStr">
        <is>
          <t>FY2026</t>
        </is>
      </c>
      <c r="D2" s="7" t="inlineStr">
        <is>
          <t>basis / source</t>
        </is>
      </c>
    </row>
    <row r="3">
      <c r="A3" t="inlineStr">
        <is>
          <t>Total capex ($B)</t>
        </is>
      </c>
      <c r="B3" s="36" t="n">
        <v>12.7</v>
      </c>
      <c r="C3" s="37" t="n">
        <v>55</v>
      </c>
      <c r="D3" s="3" t="inlineStr">
        <is>
          <t>FY25 S-1 AI capex $12.7B [DISCLOSED]; FY26 ~$55B EST from H1'26 DISCLOSED $23.5B (Q1 $7.7B, Q2 $15.8B; 82.7% of total capex) + company guiding capex roughly flat Q3/Q4. ~all accelerator (greenfield COLOSSUS I/II). AI rev ~0 today; Anthropic (up to $1.25B/mo) and Google (up to $920M/mo) compute deals ramp from 2027.</t>
        </is>
      </c>
    </row>
    <row r="4">
      <c r="A4" t="inlineStr">
        <is>
          <t>Infra / data-center share</t>
        </is>
      </c>
      <c r="B4" s="33" t="n">
        <v>1</v>
      </c>
      <c r="C4" s="33" t="n">
        <v>1</v>
      </c>
      <c r="D4" s="3" t="inlineStr">
        <is>
          <t>FILING: capex is the AI segment's own figure (S-1; Q2 2026 10-Q segment note, $23.6B in H1 2026).</t>
        </is>
      </c>
    </row>
    <row r="5">
      <c r="A5" t="inlineStr">
        <is>
          <t>Server / short-lived share</t>
        </is>
      </c>
      <c r="B5" s="33" t="n">
        <v>0.79</v>
      </c>
      <c r="C5" s="33" t="n">
        <v>0.79</v>
      </c>
      <c r="D5" s="3" t="inlineStr">
        <is>
          <t>CFO-disclosed (MSFT rose 50%-&gt;67%)</t>
        </is>
      </c>
    </row>
    <row r="6">
      <c r="A6" t="inlineStr">
        <is>
          <t>Accelerator share within servers</t>
        </is>
      </c>
      <c r="B6" s="33" t="n">
        <v>1</v>
      </c>
      <c r="C6" s="33" t="n">
        <v>1</v>
      </c>
      <c r="D6" s="3" t="inlineStr">
        <is>
          <t>from BOM teardowns (~67-80%)</t>
        </is>
      </c>
    </row>
    <row r="7">
      <c r="A7" t="inlineStr">
        <is>
          <t>Market cap ($B, approx)</t>
        </is>
      </c>
      <c r="B7" s="38" t="n">
        <v>1950</v>
      </c>
      <c r="D7" s="3" t="inlineStr">
        <is>
          <t>approximate June 2026 market data -- edit</t>
        </is>
      </c>
    </row>
    <row r="9">
      <c r="A9" s="34" t="inlineStr">
        <is>
          <t>DERIVATION</t>
        </is>
      </c>
      <c r="B9" s="35" t="n"/>
      <c r="C9" s="35" t="n"/>
      <c r="D9" s="35" t="n"/>
    </row>
    <row r="10">
      <c r="A10" t="inlineStr">
        <is>
          <t>AI-infra capex ($B)</t>
        </is>
      </c>
      <c r="B10" s="39">
        <f>B3*B4</f>
        <v/>
      </c>
      <c r="C10" s="39">
        <f>C3*C4</f>
        <v/>
      </c>
      <c r="D10" s="3" t="inlineStr">
        <is>
          <t>total x infra share</t>
        </is>
      </c>
    </row>
    <row r="11">
      <c r="A11" t="inlineStr">
        <is>
          <t>Server bucket ($B)</t>
        </is>
      </c>
      <c r="B11" s="39">
        <f>B10*B5</f>
        <v/>
      </c>
      <c r="C11" s="39">
        <f>C10*C5</f>
        <v/>
      </c>
      <c r="D11" s="3" t="inlineStr">
        <is>
          <t>infra x server share</t>
        </is>
      </c>
    </row>
    <row r="12">
      <c r="A12" s="7" t="inlineStr">
        <is>
          <t>ACCELERATOR capex ($B)</t>
        </is>
      </c>
      <c r="B12" s="40">
        <f>B11*B6</f>
        <v/>
      </c>
      <c r="C12" s="40">
        <f>C11*C6</f>
        <v/>
      </c>
      <c r="D12" s="3" t="inlineStr">
        <is>
          <t>server x accel share</t>
        </is>
      </c>
    </row>
    <row r="13">
      <c r="A13" t="inlineStr">
        <is>
          <t>Accel % of total capex</t>
        </is>
      </c>
      <c r="B13" s="14">
        <f>B12/B3</f>
        <v/>
      </c>
      <c r="C13" s="14">
        <f>C12/C3</f>
        <v/>
      </c>
      <c r="D13" s="3" t="inlineStr">
        <is>
          <t>varies across companies</t>
        </is>
      </c>
    </row>
    <row r="15">
      <c r="A15" s="34" t="inlineStr">
        <is>
          <t>FLEET &amp; OPERATING COST (from accelerator capex)</t>
        </is>
      </c>
      <c r="B15" s="35" t="n"/>
      <c r="C15" s="35" t="n"/>
      <c r="D15" s="35" t="n"/>
    </row>
    <row r="16">
      <c r="A16" t="inlineStr">
        <is>
          <t>Fleet size (GPU-equiv)</t>
        </is>
      </c>
      <c r="B16" s="41">
        <f>B12*1000000000/Inputs!$B$7</f>
        <v/>
      </c>
      <c r="C16" s="41">
        <f>C12*1000000000/Inputs!$B$7</f>
        <v/>
      </c>
      <c r="D16" s="3" t="inlineStr">
        <is>
          <t>accel capex / $ per GPU</t>
        </is>
      </c>
    </row>
    <row r="17">
      <c r="A17" t="inlineStr">
        <is>
          <t>Total wall power (MW)</t>
        </is>
      </c>
      <c r="B17" s="41">
        <f>B16*Inputs!$B$8/1000</f>
        <v/>
      </c>
      <c r="C17" s="41">
        <f>C16*Inputs!$B$8/1000</f>
        <v/>
      </c>
      <c r="D17" s="3" t="inlineStr">
        <is>
          <t>GPUs x kW</t>
        </is>
      </c>
    </row>
    <row r="18">
      <c r="A18" t="inlineStr">
        <is>
          <t>Daily energy (MWh)</t>
        </is>
      </c>
      <c r="B18" s="41">
        <f>B17*24</f>
        <v/>
      </c>
      <c r="C18" s="41">
        <f>C17*24</f>
        <v/>
      </c>
      <c r="D18" s="3" t="inlineStr"/>
    </row>
    <row r="19">
      <c r="A19" t="inlineStr">
        <is>
          <t>Daily all-in opex ($/day)</t>
        </is>
      </c>
      <c r="B19" s="41">
        <f>B18*1000*Inputs!$B$9*(1+Inputs!$B$10)</f>
        <v/>
      </c>
      <c r="C19" s="41">
        <f>C18*1000*Inputs!$B$9*(1+Inputs!$B$10)</f>
        <v/>
      </c>
      <c r="D19" s="3" t="inlineStr">
        <is>
          <t>MWh x rate x (1+overhead)</t>
        </is>
      </c>
    </row>
    <row r="20">
      <c r="A20" t="inlineStr">
        <is>
          <t>Annual opex ($M)</t>
        </is>
      </c>
      <c r="B20" s="39">
        <f>B19*365/1000000</f>
        <v/>
      </c>
      <c r="C20" s="39">
        <f>C19*365/1000000</f>
        <v/>
      </c>
      <c r="D20" s="3" t="inlineStr"/>
    </row>
    <row r="21">
      <c r="A21" t="inlineStr">
        <is>
          <t>Lifetime opex ($B)</t>
        </is>
      </c>
      <c r="B21" s="42">
        <f>B20*Inputs!$B$11/1000</f>
        <v/>
      </c>
      <c r="C21" s="42">
        <f>C20*Inputs!$B$11/1000</f>
        <v/>
      </c>
      <c r="D21" s="3" t="inlineStr"/>
    </row>
    <row r="23">
      <c r="A23" s="34" t="inlineStr">
        <is>
          <t>EFFICIENT VERSION &amp; VALUE</t>
        </is>
      </c>
      <c r="B23" s="35" t="n"/>
      <c r="C23" s="35" t="n"/>
      <c r="D23" s="35" t="n"/>
    </row>
    <row r="24">
      <c r="A24" t="inlineStr">
        <is>
          <t>Efficient AI capex ($B)</t>
        </is>
      </c>
      <c r="B24" s="39">
        <f>B10-B25</f>
        <v/>
      </c>
      <c r="C24" s="39">
        <f>C10-C25</f>
        <v/>
      </c>
      <c r="D24" s="3" t="inlineStr">
        <is>
          <t>AI capex - avoided</t>
        </is>
      </c>
    </row>
    <row r="25">
      <c r="A25" t="inlineStr">
        <is>
          <t>Capex avoided/yr ($B)</t>
        </is>
      </c>
      <c r="B25" s="39">
        <f>(B12+(B10-B12)*Inputs!$B$13)*(1-1/Inputs!$B$20)</f>
        <v/>
      </c>
      <c r="C25" s="39">
        <f>(C12+(C10-C12)*Inputs!$B$13)*(1-1/Inputs!$B$20)</f>
        <v/>
      </c>
      <c r="D25" s="3" t="inlineStr">
        <is>
          <t>accel + (datacenter x dc-scale), all x (1-1/reduction)</t>
        </is>
      </c>
    </row>
    <row r="26">
      <c r="A26" t="inlineStr">
        <is>
          <t>Annual opex savings ($M)</t>
        </is>
      </c>
      <c r="B26" s="39">
        <f>B20*(1-1/Inputs!$B$5)</f>
        <v/>
      </c>
      <c r="C26" s="39">
        <f>C20*(1-1/Inputs!$B$5)</f>
        <v/>
      </c>
      <c r="D26" s="3" t="inlineStr"/>
    </row>
    <row r="27">
      <c r="A27" t="inlineStr">
        <is>
          <t>Sustained annual benefit ($B/yr)</t>
        </is>
      </c>
      <c r="B27" s="43">
        <f>B25+B26/1000</f>
        <v/>
      </c>
      <c r="C27" s="43">
        <f>C25+C26/1000</f>
        <v/>
      </c>
      <c r="D27" s="3" t="inlineStr">
        <is>
          <t>avoided + opex savings</t>
        </is>
      </c>
    </row>
    <row r="28">
      <c r="A28" s="7" t="inlineStr">
        <is>
          <t>Capitalized value ($B)</t>
        </is>
      </c>
      <c r="B28" s="44">
        <f>B27/Inputs!$B$6</f>
        <v/>
      </c>
      <c r="C28" s="44">
        <f>C27/Inputs!$B$6</f>
        <v/>
      </c>
      <c r="D28" s="3" t="inlineStr">
        <is>
          <t>benefit / discount rate</t>
        </is>
      </c>
    </row>
    <row r="29">
      <c r="A29" t="inlineStr">
        <is>
          <t>% of market cap</t>
        </is>
      </c>
      <c r="B29" s="25">
        <f>B28/$B$7</f>
        <v/>
      </c>
      <c r="C29" s="25">
        <f>C28/$B$7</f>
        <v/>
      </c>
      <c r="D29" s="3" t="inlineStr"/>
    </row>
    <row r="31">
      <c r="A31" s="34" t="inlineStr">
        <is>
          <t>AI ECONOMICS (cash basis: AI revenue - AI capex - AI opex)</t>
        </is>
      </c>
      <c r="B31" s="35" t="n"/>
      <c r="C31" s="35" t="n"/>
      <c r="D31" s="35" t="n"/>
    </row>
    <row r="32">
      <c r="A32" t="inlineStr">
        <is>
          <t>AI revenue ($B)</t>
        </is>
      </c>
      <c r="B32" s="37" t="n">
        <v>0.3</v>
      </c>
      <c r="C32" s="37" t="n">
        <v>1</v>
      </c>
      <c r="D32" s="3" t="inlineStr">
        <is>
          <t>ESTIMATE (see Methodology). MSFT $37B &amp; Amazon $15B run-rates disclosed; Google/Meta/SpaceX estimated.</t>
        </is>
      </c>
    </row>
    <row r="33">
      <c r="A33" t="inlineStr">
        <is>
          <t>AI capex ($B)</t>
        </is>
      </c>
      <c r="B33" s="39">
        <f>B10</f>
        <v/>
      </c>
      <c r="C33" s="39">
        <f>C10</f>
        <v/>
      </c>
      <c r="D33" s="3" t="inlineStr">
        <is>
          <t>AI-infra capex (full: accel + buildings + power + net)</t>
        </is>
      </c>
    </row>
    <row r="34">
      <c r="A34" t="inlineStr">
        <is>
          <t>AI opex ($B)</t>
        </is>
      </c>
      <c r="B34" s="39">
        <f>B20/1000</f>
        <v/>
      </c>
      <c r="C34" s="39">
        <f>C20/1000</f>
        <v/>
      </c>
      <c r="D34" s="3" t="inlineStr">
        <is>
          <t>annual power/operating</t>
        </is>
      </c>
    </row>
    <row r="35">
      <c r="A35" s="7" t="inlineStr">
        <is>
          <t>Net AI NOW ($B)</t>
        </is>
      </c>
      <c r="B35" s="40">
        <f>B32-B33-B34</f>
        <v/>
      </c>
      <c r="C35" s="40">
        <f>C32-C33-C34</f>
        <v/>
      </c>
      <c r="D35" s="3" t="inlineStr">
        <is>
          <t>revenue - capex - opex (cash burn)</t>
        </is>
      </c>
    </row>
    <row r="36">
      <c r="A36" t="inlineStr">
        <is>
          <t>Spend cut, our arch ($B)</t>
        </is>
      </c>
      <c r="B36" s="39">
        <f>B27</f>
        <v/>
      </c>
      <c r="C36" s="39">
        <f>C27</f>
        <v/>
      </c>
      <c r="D36" s="3" t="inlineStr">
        <is>
          <t>accel capex avoided + opex saved</t>
        </is>
      </c>
    </row>
    <row r="37">
      <c r="A37" s="7" t="inlineStr">
        <is>
          <t>Net AI WITH our arch ($B)</t>
        </is>
      </c>
      <c r="B37" s="40">
        <f>B35+B36</f>
        <v/>
      </c>
      <c r="C37" s="40">
        <f>C35+C36</f>
        <v/>
      </c>
      <c r="D37" s="3" t="inlineStr">
        <is>
          <t>Net AI now + spend cut</t>
        </is>
      </c>
    </row>
    <row r="38">
      <c r="A38" t="inlineStr">
        <is>
          <t>% AI spend reduction</t>
        </is>
      </c>
      <c r="B38" s="14">
        <f>B36/(B33+B34)</f>
        <v/>
      </c>
      <c r="C38" s="14">
        <f>C36/(C33+C34)</f>
        <v/>
      </c>
      <c r="D38" s="3" t="inlineStr">
        <is>
          <t>spend cut / total AI spend (accel-only; upside if DC scales)</t>
        </is>
      </c>
    </row>
    <row r="40">
      <c r="A40" s="34" t="inlineStr">
        <is>
          <t>SOURCES &amp; REFERENCES</t>
        </is>
      </c>
      <c r="B40" s="35" t="n"/>
      <c r="C40" s="35" t="n"/>
      <c r="D40" s="35" t="n"/>
    </row>
    <row r="41">
      <c r="A41" s="3" t="inlineStr">
        <is>
          <t>S-1 registration statement (SEC EDGAR)</t>
        </is>
      </c>
      <c r="B41" s="45" t="inlineStr">
        <is>
          <t>https://www.sec.gov/Archives/edgar/data/1181412/000162828026036936/spaceexplorationtechnologi.htm</t>
        </is>
      </c>
    </row>
    <row r="42">
      <c r="A42" s="3" t="inlineStr">
        <is>
          <t>S-1 financials &amp; AI breakdown (Hargreaves Lansdown)</t>
        </is>
      </c>
      <c r="B42" s="45" t="inlineStr">
        <is>
          <t>https://www.hl.co.uk/news/inside-spacexs-ipo-filing-revenue-starlink-ai-and-key-financials</t>
        </is>
      </c>
    </row>
    <row r="43">
      <c r="A43" s="3" t="inlineStr">
        <is>
          <t>$12.7B AI capex = ~60% of capex; COLOSSUS buildout (Investing.com)</t>
        </is>
      </c>
      <c r="B43" s="45" t="inlineStr">
        <is>
          <t>https://www.investing.com/analysis/spacex-is-quietly-becoming-an-ai-compute-and-orbital-infrastructure-company-200681776</t>
        </is>
      </c>
    </row>
    <row r="44">
      <c r="A44" s="3" t="inlineStr">
        <is>
          <t>AI1 orbital data centers; Anthropic as compute customer (DCD)</t>
        </is>
      </c>
      <c r="B44" s="45" t="inlineStr">
        <is>
          <t>https://www.datacenterdynamics.com/en/news/spacex-ipo-musks-firm-set-to-launch-first-orbital-data-center-ai1-satellites-in-2027-will-put-compute-on-starlink-craft/</t>
        </is>
      </c>
    </row>
  </sheetData>
  <mergeCells count="4">
    <mergeCell ref="B42:D42"/>
    <mergeCell ref="B41:D41"/>
    <mergeCell ref="B44:D44"/>
    <mergeCell ref="B43:D43"/>
  </mergeCells>
  <hyperlinks>
    <hyperlink xmlns:r="http://schemas.openxmlformats.org/officeDocument/2006/relationships" ref="B41" r:id="rId1"/>
    <hyperlink xmlns:r="http://schemas.openxmlformats.org/officeDocument/2006/relationships" ref="B42" r:id="rId2"/>
    <hyperlink xmlns:r="http://schemas.openxmlformats.org/officeDocument/2006/relationships" ref="B43" r:id="rId3"/>
    <hyperlink xmlns:r="http://schemas.openxmlformats.org/officeDocument/2006/relationships" ref="B44" r:id="rId4"/>
  </hyperlinks>
  <pageMargins left="0.75" right="0.75" top="1" bottom="1" header="0.5" footer="0.5"/>
</worksheet>
</file>

<file path=xl/worksheets/sheet10.xml><?xml version="1.0" encoding="utf-8"?>
<worksheet xmlns="http://schemas.openxmlformats.org/spreadsheetml/2006/main">
  <sheetPr>
    <tabColor rgb="00A6A6A6"/>
    <outlinePr summaryBelow="1" summaryRight="1"/>
    <pageSetUpPr/>
  </sheetPr>
  <dimension ref="A1:H38"/>
  <sheetViews>
    <sheetView workbookViewId="0">
      <selection activeCell="A1" sqref="A1"/>
    </sheetView>
  </sheetViews>
  <sheetFormatPr baseColWidth="8" defaultRowHeight="15"/>
  <cols>
    <col width="17" customWidth="1" min="1" max="1"/>
    <col width="12" customWidth="1" min="2" max="2"/>
    <col width="12" customWidth="1" min="3" max="3"/>
    <col width="11" customWidth="1" min="4" max="4"/>
    <col width="12" customWidth="1" min="5" max="5"/>
    <col width="13" customWidth="1" min="6" max="6"/>
    <col width="13" customWidth="1" min="7" max="7"/>
    <col width="9" customWidth="1" min="8" max="8"/>
  </cols>
  <sheetData>
    <row r="1">
      <c r="A1" s="34" t="inlineStr">
        <is>
          <t>6-COMPANY AI ECONOMICS — current AI cash burn &amp; the effect of our architecture</t>
        </is>
      </c>
      <c r="B1" s="35" t="n"/>
      <c r="C1" s="35" t="n"/>
      <c r="D1" s="35" t="n"/>
      <c r="E1" s="35" t="n"/>
      <c r="F1" s="35" t="n"/>
      <c r="G1" s="35" t="n"/>
      <c r="H1" s="35" t="n"/>
    </row>
    <row r="2">
      <c r="A2" s="3" t="inlineStr">
        <is>
          <t>They all spend far more on AI (capex + opex) than they earn from it -- they are losing money on AI today. Our architecture cuts the accelerator spend ~95%, shrinking the burn. The named firms are a floor; a GLOBAL estimate grosses up for the rest. Yellow assumption cells (also sliders in the app) and green disclosed-data cells live on company tabs.</t>
        </is>
      </c>
    </row>
    <row r="4">
      <c r="A4" s="34" t="inlineStr">
        <is>
          <t>NET AI ECONOMICS — FY2025 (cash basis: AI revenue - AI capex - AI opex)</t>
        </is>
      </c>
      <c r="B4" s="35" t="n"/>
      <c r="C4" s="35" t="n"/>
      <c r="D4" s="35" t="n"/>
      <c r="E4" s="35" t="n"/>
      <c r="F4" s="35" t="n"/>
      <c r="G4" s="35" t="n"/>
      <c r="H4" s="35" t="n"/>
    </row>
    <row r="5">
      <c r="A5" s="20" t="inlineStr">
        <is>
          <t>Company</t>
        </is>
      </c>
      <c r="B5" s="20" t="inlineStr">
        <is>
          <t>AI revenue ($B)</t>
        </is>
      </c>
      <c r="C5" s="20" t="inlineStr">
        <is>
          <t>AI capex ($B)</t>
        </is>
      </c>
      <c r="D5" s="20" t="inlineStr">
        <is>
          <t>AI opex ($B)</t>
        </is>
      </c>
      <c r="E5" s="20" t="inlineStr">
        <is>
          <t>Net AI NOW ($B)</t>
        </is>
      </c>
      <c r="F5" s="20" t="inlineStr">
        <is>
          <t>Spend cut, our arch ($B)</t>
        </is>
      </c>
      <c r="G5" s="20" t="inlineStr">
        <is>
          <t>Net AI W/ ARCH ($B)</t>
        </is>
      </c>
      <c r="H5" s="20" t="inlineStr">
        <is>
          <t>% spend cut</t>
        </is>
      </c>
    </row>
    <row r="6">
      <c r="A6" t="inlineStr">
        <is>
          <t>Microsoft</t>
        </is>
      </c>
      <c r="B6" s="39">
        <f>Microsoft!$B$32</f>
        <v/>
      </c>
      <c r="C6" s="39">
        <f>Microsoft!$B$33</f>
        <v/>
      </c>
      <c r="D6" s="39">
        <f>Microsoft!$B$34</f>
        <v/>
      </c>
      <c r="E6" s="40">
        <f>Microsoft!$B$35</f>
        <v/>
      </c>
      <c r="F6" s="39">
        <f>Microsoft!$B$36</f>
        <v/>
      </c>
      <c r="G6" s="40">
        <f>Microsoft!$B$37</f>
        <v/>
      </c>
      <c r="H6" s="14">
        <f>Microsoft!$B$38</f>
        <v/>
      </c>
    </row>
    <row r="7">
      <c r="A7" t="inlineStr">
        <is>
          <t>Alphabet</t>
        </is>
      </c>
      <c r="B7" s="39">
        <f>Alphabet!$B$32</f>
        <v/>
      </c>
      <c r="C7" s="39">
        <f>Alphabet!$B$33</f>
        <v/>
      </c>
      <c r="D7" s="39">
        <f>Alphabet!$B$34</f>
        <v/>
      </c>
      <c r="E7" s="40">
        <f>Alphabet!$B$35</f>
        <v/>
      </c>
      <c r="F7" s="39">
        <f>Alphabet!$B$36</f>
        <v/>
      </c>
      <c r="G7" s="40">
        <f>Alphabet!$B$37</f>
        <v/>
      </c>
      <c r="H7" s="14">
        <f>Alphabet!$B$38</f>
        <v/>
      </c>
    </row>
    <row r="8">
      <c r="A8" t="inlineStr">
        <is>
          <t>Amazon</t>
        </is>
      </c>
      <c r="B8" s="39">
        <f>Amazon!$B$32</f>
        <v/>
      </c>
      <c r="C8" s="39">
        <f>Amazon!$B$33</f>
        <v/>
      </c>
      <c r="D8" s="39">
        <f>Amazon!$B$34</f>
        <v/>
      </c>
      <c r="E8" s="40">
        <f>Amazon!$B$35</f>
        <v/>
      </c>
      <c r="F8" s="39">
        <f>Amazon!$B$36</f>
        <v/>
      </c>
      <c r="G8" s="40">
        <f>Amazon!$B$37</f>
        <v/>
      </c>
      <c r="H8" s="14">
        <f>Amazon!$B$38</f>
        <v/>
      </c>
    </row>
    <row r="9">
      <c r="A9" t="inlineStr">
        <is>
          <t>Meta</t>
        </is>
      </c>
      <c r="B9" s="39">
        <f>Meta!$B$32</f>
        <v/>
      </c>
      <c r="C9" s="39">
        <f>Meta!$B$33</f>
        <v/>
      </c>
      <c r="D9" s="39">
        <f>Meta!$B$34</f>
        <v/>
      </c>
      <c r="E9" s="40">
        <f>Meta!$B$35</f>
        <v/>
      </c>
      <c r="F9" s="39">
        <f>Meta!$B$36</f>
        <v/>
      </c>
      <c r="G9" s="40">
        <f>Meta!$B$37</f>
        <v/>
      </c>
      <c r="H9" s="14">
        <f>Meta!$B$38</f>
        <v/>
      </c>
    </row>
    <row r="10">
      <c r="A10" t="inlineStr">
        <is>
          <t>Oracle</t>
        </is>
      </c>
      <c r="B10" s="39">
        <f>Oracle!$B$32</f>
        <v/>
      </c>
      <c r="C10" s="39">
        <f>Oracle!$B$33</f>
        <v/>
      </c>
      <c r="D10" s="39">
        <f>Oracle!$B$34</f>
        <v/>
      </c>
      <c r="E10" s="40">
        <f>Oracle!$B$35</f>
        <v/>
      </c>
      <c r="F10" s="39">
        <f>Oracle!$B$36</f>
        <v/>
      </c>
      <c r="G10" s="40">
        <f>Oracle!$B$37</f>
        <v/>
      </c>
      <c r="H10" s="14">
        <f>Oracle!$B$38</f>
        <v/>
      </c>
    </row>
    <row r="11">
      <c r="A11" t="inlineStr">
        <is>
          <t>SpaceX</t>
        </is>
      </c>
      <c r="B11" s="39">
        <f>SpaceX!$B$32</f>
        <v/>
      </c>
      <c r="C11" s="39">
        <f>SpaceX!$B$33</f>
        <v/>
      </c>
      <c r="D11" s="39">
        <f>SpaceX!$B$34</f>
        <v/>
      </c>
      <c r="E11" s="40">
        <f>SpaceX!$B$35</f>
        <v/>
      </c>
      <c r="F11" s="39">
        <f>SpaceX!$B$36</f>
        <v/>
      </c>
      <c r="G11" s="40">
        <f>SpaceX!$B$37</f>
        <v/>
      </c>
      <c r="H11" s="14">
        <f>SpaceX!$B$38</f>
        <v/>
      </c>
    </row>
    <row r="12">
      <c r="A12" s="7" t="inlineStr">
        <is>
          <t>TOTAL (6)</t>
        </is>
      </c>
      <c r="B12" s="46">
        <f>SUM(B6:B11)</f>
        <v/>
      </c>
      <c r="C12" s="46">
        <f>SUM(C6:C11)</f>
        <v/>
      </c>
      <c r="D12" s="46">
        <f>SUM(D6:D11)</f>
        <v/>
      </c>
      <c r="E12" s="46">
        <f>SUM(E6:E11)</f>
        <v/>
      </c>
      <c r="F12" s="46">
        <f>SUM(F6:F11)</f>
        <v/>
      </c>
      <c r="G12" s="46">
        <f>SUM(G6:G11)</f>
        <v/>
      </c>
      <c r="H12" s="47">
        <f>F12/(C12+D12)</f>
        <v/>
      </c>
    </row>
    <row r="13">
      <c r="A13" s="7" t="inlineStr">
        <is>
          <t>FY2026 (estimate)</t>
        </is>
      </c>
      <c r="E13" s="48">
        <f>SUM(Microsoft!$C$35,Alphabet!$C$35,Amazon!$C$35,Meta!$C$35,Oracle!$C$35,SpaceX!$C$35)</f>
        <v/>
      </c>
      <c r="F13" s="48">
        <f>SUM(Microsoft!$C$36,Alphabet!$C$36,Amazon!$C$36,Meta!$C$36,Oracle!$C$36,SpaceX!$C$36)</f>
        <v/>
      </c>
      <c r="G13" s="48">
        <f>SUM(Microsoft!$C$37,Alphabet!$C$37,Amazon!$C$37,Meta!$C$37,Oracle!$C$37,SpaceX!$C$37)</f>
        <v/>
      </c>
      <c r="H13" s="49">
        <f>SUM(Microsoft!$C$36,Alphabet!$C$36,Amazon!$C$36,Meta!$C$36,Oracle!$C$36,SpaceX!$C$36)/(SUM(Microsoft!$C$33,Alphabet!$C$33,Amazon!$C$33,Meta!$C$33,Oracle!$C$33,SpaceX!$C$33)+SUM(Microsoft!$C$34,Alphabet!$C$34,Amazon!$C$34,Meta!$C$34,Oracle!$C$34,SpaceX!$C$34))</f>
        <v/>
      </c>
    </row>
    <row r="14">
      <c r="A14" s="7" t="inlineStr">
        <is>
          <t>FY2027 (STREET-EST prediction, static)</t>
        </is>
      </c>
      <c r="E14" s="48" t="n">
        <v>-960.45442678288</v>
      </c>
      <c r="F14" s="48" t="n">
        <v>569.1669985864507</v>
      </c>
      <c r="G14" s="48" t="n">
        <v>-391.2874281964292</v>
      </c>
      <c r="H14" s="49" t="n">
        <v>0.4889942299198121</v>
      </c>
    </row>
    <row r="16">
      <c r="A16" s="34" t="inlineStr">
        <is>
          <t>SAVINGS BREAKDOWN — the spend cut, split</t>
        </is>
      </c>
      <c r="B16" s="35" t="n"/>
      <c r="C16" s="35" t="n"/>
      <c r="D16" s="35" t="n"/>
      <c r="E16" s="35" t="n"/>
      <c r="F16" s="35" t="n"/>
      <c r="G16" s="35" t="n"/>
      <c r="H16" s="35" t="n"/>
    </row>
    <row r="17">
      <c r="A17" t="inlineStr">
        <is>
          <t>Cost-weighted reduction (Amdahl)</t>
        </is>
      </c>
      <c r="B17" s="50">
        <f>Inputs!$B$20</f>
        <v/>
      </c>
      <c r="C17" t="inlineStr">
        <is>
          <t>x</t>
        </is>
      </c>
    </row>
    <row r="19">
      <c r="B19" s="7" t="inlineStr">
        <is>
          <t>Saved OPEX</t>
        </is>
      </c>
      <c r="C19" s="20" t="inlineStr">
        <is>
          <t>Avoided CAPEX (Overspend)</t>
        </is>
      </c>
      <c r="D19" s="7" t="inlineStr">
        <is>
          <t>Total</t>
        </is>
      </c>
    </row>
    <row r="20">
      <c r="A20" t="inlineStr">
        <is>
          <t>FY2025 annual ($B/yr)</t>
        </is>
      </c>
      <c r="B20" s="39">
        <f>SUM(Microsoft!B26,Alphabet!B26,Amazon!B26,Meta!B26,Oracle!B26,SpaceX!B26)/1000</f>
        <v/>
      </c>
      <c r="C20" s="39">
        <f>SUM(Microsoft!B25,Alphabet!B25,Amazon!B25,Meta!B25,Oracle!B25,SpaceX!B25)</f>
        <v/>
      </c>
      <c r="D20" s="39">
        <f>B20+C20</f>
        <v/>
      </c>
    </row>
    <row r="21">
      <c r="A21" s="7" t="inlineStr">
        <is>
          <t>FY2025 capitalized ($B)</t>
        </is>
      </c>
      <c r="B21" s="44">
        <f>B20/Inputs!$B$6</f>
        <v/>
      </c>
      <c r="C21" s="44">
        <f>C20/Inputs!$B$6</f>
        <v/>
      </c>
      <c r="D21" s="44">
        <f>B21+C21</f>
        <v/>
      </c>
    </row>
    <row r="22">
      <c r="A22" t="inlineStr">
        <is>
          <t>FY2026 annual ($B/yr)</t>
        </is>
      </c>
      <c r="B22" s="39">
        <f>SUM(Microsoft!C26,Alphabet!C26,Amazon!C26,Meta!C26,Oracle!C26,SpaceX!C26)/1000</f>
        <v/>
      </c>
      <c r="C22" s="39">
        <f>SUM(Microsoft!C25,Alphabet!C25,Amazon!C25,Meta!C25,Oracle!C25,SpaceX!C25)</f>
        <v/>
      </c>
      <c r="D22" s="39">
        <f>B22+C22</f>
        <v/>
      </c>
    </row>
    <row r="23">
      <c r="A23" s="7" t="inlineStr">
        <is>
          <t>FY2026 capitalized ($B)</t>
        </is>
      </c>
      <c r="B23" s="44">
        <f>B22/Inputs!$B$6</f>
        <v/>
      </c>
      <c r="C23" s="44">
        <f>C22/Inputs!$B$6</f>
        <v/>
      </c>
      <c r="D23" s="44">
        <f>B23+C23</f>
        <v/>
      </c>
    </row>
    <row r="24">
      <c r="A24" s="7" t="inlineStr">
        <is>
          <t>GLOBAL capitalized -- est. ($B)</t>
        </is>
      </c>
      <c r="B24" s="44">
        <f>D21/Inputs!$B$14</f>
        <v/>
      </c>
      <c r="C24" s="44">
        <f>D23/Inputs!$B$14</f>
        <v/>
      </c>
      <c r="D24" s="3" t="inlineStr">
        <is>
          <t>named-floor capitalized / named-share-of-global (Inputs B14). ESTIMATE: grosses up for other clouds, China, neoclouds, xAI, sovereign.</t>
        </is>
      </c>
    </row>
    <row r="25">
      <c r="A25" t="inlineStr">
        <is>
          <t>% reduction</t>
        </is>
      </c>
      <c r="B25" s="14">
        <f>1-1/Inputs!$B$5</f>
        <v/>
      </c>
      <c r="C25" s="14">
        <f>1-1/Inputs!$B$20</f>
        <v/>
      </c>
    </row>
    <row r="26">
      <c r="A26" s="3" t="inlineStr">
        <is>
          <t>OPEX = power saved each year (recoupable). CAPEX 'Overspend' = AI capex made unnecessary. TOGGLE: Inputs 'Datacenter scaling factor' (0 = accelerator-only/conservative; 1 = whole datacenter scales with the smaller fleet). At 0 the burn ~halves; at ~0.7 net AI hits breakeven; at 1 it flips positive. Capitalized = annual / discount rate.</t>
        </is>
      </c>
    </row>
    <row r="28">
      <c r="A28" s="34" t="inlineStr">
        <is>
          <t>TABS</t>
        </is>
      </c>
      <c r="B28" s="35" t="n"/>
      <c r="C28" s="35" t="n"/>
      <c r="D28" s="35" t="n"/>
      <c r="E28" s="35" t="n"/>
      <c r="F28" s="35" t="n"/>
      <c r="G28" s="35" t="n"/>
      <c r="H28" s="35" t="n"/>
    </row>
    <row r="29">
      <c r="A29" s="7" t="inlineStr">
        <is>
          <t>Summary / Value Bridge / Levers</t>
        </is>
      </c>
      <c r="B29" s="3" t="inlineStr">
        <is>
          <t>the plain-language front tabs: headline, training vs serving split, where each Helarctos lever moves the needle</t>
        </is>
      </c>
    </row>
    <row r="30">
      <c r="A30" s="7" t="inlineStr">
        <is>
          <t>Microsoft / Alphabet / Amazon / Meta / Oracle / SpaceX</t>
        </is>
      </c>
      <c r="B30" s="3" t="inlineStr">
        <is>
          <t>one tab each: full build capex -&gt; infra -&gt; servers -&gt; accelerator -&gt; fleet/opex -&gt; value</t>
        </is>
      </c>
    </row>
    <row r="31">
      <c r="A31" s="7" t="inlineStr">
        <is>
          <t>Inputs</t>
        </is>
      </c>
      <c r="B31" s="3" t="inlineStr">
        <is>
          <t>global assumptions + the reduction engine (cost-weighted factor)</t>
        </is>
      </c>
    </row>
    <row r="32">
      <c r="A32" s="7" t="inlineStr">
        <is>
          <t>Sensitivity</t>
        </is>
      </c>
      <c r="B32" s="3" t="inlineStr">
        <is>
          <t>SpaceX value across the Today / Ceiling / live cost-weighted tiers + context sensitivity</t>
        </is>
      </c>
    </row>
    <row r="33">
      <c r="A33" s="7" t="inlineStr">
        <is>
          <t>CostLadder</t>
        </is>
      </c>
      <c r="B33" s="3" t="inlineStr">
        <is>
          <t>own-silicon vs buy-NVIDIA vs rent $/GPU-hr</t>
        </is>
      </c>
    </row>
    <row r="34">
      <c r="A34" s="7" t="inlineStr">
        <is>
          <t>ServingTraining</t>
        </is>
      </c>
      <c r="B34" s="3" t="inlineStr">
        <is>
          <t>the serving/training measurement ledger behind the levers — status-tagged (MEASURED / ESTIMATE / TARGET)</t>
        </is>
      </c>
    </row>
    <row r="35">
      <c r="A35" s="7" t="inlineStr">
        <is>
          <t>Evidence</t>
        </is>
      </c>
      <c r="B35" s="3" t="inlineStr">
        <is>
          <t>BOM cost split, accelerator-share data, own-silicon TCO, filing top-lines</t>
        </is>
      </c>
    </row>
    <row r="36">
      <c r="A36" s="7" t="inlineStr">
        <is>
          <t>Methodology</t>
        </is>
      </c>
      <c r="B36" s="3" t="inlineStr">
        <is>
          <t>step-by-step logic, caveats, sources</t>
        </is>
      </c>
    </row>
    <row r="38">
      <c r="A38" s="7" t="inlineStr">
        <is>
          <t>Legend: yellow = assumption / lever (each maps to a slider in the Streamlit app)  ·  green = disclosed filing or market data  ·  blue = derived formula.</t>
        </is>
      </c>
    </row>
  </sheetData>
  <mergeCells count="11">
    <mergeCell ref="B36:H36"/>
    <mergeCell ref="A26:H26"/>
    <mergeCell ref="B32:H32"/>
    <mergeCell ref="B35:H35"/>
    <mergeCell ref="A38:H38"/>
    <mergeCell ref="A2:H2"/>
    <mergeCell ref="B30:H30"/>
    <mergeCell ref="B29:H29"/>
    <mergeCell ref="B33:H33"/>
    <mergeCell ref="B34:H34"/>
    <mergeCell ref="B31:H31"/>
  </mergeCells>
  <pageMargins left="0.75" right="0.75" top="1" bottom="1" header="0.5" footer="0.5"/>
</worksheet>
</file>

<file path=xl/worksheets/sheet11.xml><?xml version="1.0" encoding="utf-8"?>
<worksheet xmlns="http://schemas.openxmlformats.org/spreadsheetml/2006/main">
  <sheetPr>
    <tabColor rgb="00A6A6A6"/>
    <outlinePr summaryBelow="1" summaryRight="1"/>
    <pageSetUpPr/>
  </sheetPr>
  <dimension ref="A1:D25"/>
  <sheetViews>
    <sheetView workbookViewId="0">
      <selection activeCell="A1" sqref="A1"/>
    </sheetView>
  </sheetViews>
  <sheetFormatPr baseColWidth="8" defaultRowHeight="15"/>
  <cols>
    <col width="40" customWidth="1" min="1" max="1"/>
    <col width="13" customWidth="1" min="2" max="2"/>
    <col width="8" customWidth="1" min="3" max="3"/>
    <col width="76" customWidth="1" min="4" max="4"/>
  </cols>
  <sheetData>
    <row r="1">
      <c r="A1" s="34" t="inlineStr">
        <is>
          <t>GLOBAL INPUTS  —  edit yellow (assumption) cells; green = disclosed/market data</t>
        </is>
      </c>
      <c r="B1" s="35" t="n"/>
      <c r="C1" s="35" t="n"/>
      <c r="D1" s="35" t="n"/>
    </row>
    <row r="2">
      <c r="A2" t="inlineStr">
        <is>
          <t>Memory reduction factor</t>
        </is>
      </c>
      <c r="B2" s="51" t="n">
        <v>100</v>
      </c>
      <c r="C2" t="inlineStr">
        <is>
          <t>x</t>
        </is>
      </c>
      <c r="D2" s="3" t="inlineStr">
        <is>
          <t>1e-2 memory = 100x less (O(1) internal state vs transformer O(T) KV cache).</t>
        </is>
      </c>
    </row>
    <row r="3">
      <c r="A3" t="inlineStr">
        <is>
          <t>FLOPs reduction factor</t>
        </is>
      </c>
      <c r="B3" s="51">
        <f>$B$24</f>
        <v/>
      </c>
      <c r="C3" t="inlineStr">
        <is>
          <t>x</t>
        </is>
      </c>
      <c r="D3" s="3" t="inlineStr">
        <is>
          <t>TODAY scenario (default, RE-BASED 2026-09-01) = x793: the full-workload serving lever (decode 2.5 ms/token x 64 resident streams — an ESTIMATE, aggregate-decode receipt PENDING — prefill at the BANKED x3.936 campaign speedup) x the fit-derived equal-quality parameter ratio x4.22 at 1T (rows 23-25 below). Overtype with =B25 for the CEILING scenario (x816 = same lever, prefill at the full x7.03 maturity factor), or any number. The pre-campaign x9.24 lever is RETIRED 2026-09-01 (measured on kernels that no longer exist). See ServingTraining for the measured background blend.</t>
        </is>
      </c>
    </row>
    <row r="4">
      <c r="A4" t="inlineStr">
        <is>
          <t>Memory share of GPU cost (BOM)</t>
        </is>
      </c>
      <c r="B4" s="52" t="n">
        <v>0.6</v>
      </c>
      <c r="C4" t="inlineStr">
        <is>
          <t>frac</t>
        </is>
      </c>
      <c r="D4" s="3" t="inlineStr">
        <is>
          <t>HBM ~45% of B200 COGS + most CoWoS packaging -&gt; ~60% memory / ~40% compute. See Evidence.</t>
        </is>
      </c>
    </row>
    <row r="5">
      <c r="A5" t="inlineStr">
        <is>
          <t>Opex / energy reduction factor</t>
        </is>
      </c>
      <c r="B5" s="51">
        <f>B20</f>
        <v/>
      </c>
      <c r="C5" t="inlineStr">
        <is>
          <t>x</t>
        </is>
      </c>
      <c r="D5" s="3" t="inlineStr">
        <is>
          <t>DERIVED default = cost-weighted reduction (B20): energy splits memory/compute like cost. Overtype this cell to override.</t>
        </is>
      </c>
    </row>
    <row r="6">
      <c r="A6" t="inlineStr">
        <is>
          <t>Discount rate</t>
        </is>
      </c>
      <c r="B6" s="52" t="n">
        <v>0.06</v>
      </c>
      <c r="C6" t="inlineStr">
        <is>
          <t>frac</t>
        </is>
      </c>
      <c r="D6" s="3" t="inlineStr">
        <is>
          <t>Perpetuity capitalization: value = annual benefit / rate (=16.7x at 6%).</t>
        </is>
      </c>
    </row>
    <row r="7">
      <c r="A7" t="inlineStr">
        <is>
          <t>Fully-loaded cost per GPU</t>
        </is>
      </c>
      <c r="B7" s="53" t="n">
        <v>50000</v>
      </c>
      <c r="C7" t="inlineStr">
        <is>
          <t>$</t>
        </is>
      </c>
      <c r="D7" s="3" t="inlineStr">
        <is>
          <t>B200-class GPU + share of server, NVLink, networking.</t>
        </is>
      </c>
    </row>
    <row r="8">
      <c r="A8" t="inlineStr">
        <is>
          <t>Wall power per GPU</t>
        </is>
      </c>
      <c r="B8" s="51" t="n">
        <v>1.8</v>
      </c>
      <c r="C8" t="inlineStr">
        <is>
          <t>kW</t>
        </is>
      </c>
      <c r="D8" s="3" t="inlineStr">
        <is>
          <t>~1 kW TDP + node overhead x PUE 1.3.</t>
        </is>
      </c>
    </row>
    <row r="9">
      <c r="A9" t="inlineStr">
        <is>
          <t>Electricity rate</t>
        </is>
      </c>
      <c r="B9" s="51" t="n">
        <v>0.08</v>
      </c>
      <c r="C9" t="inlineStr">
        <is>
          <t>$/kWh</t>
        </is>
      </c>
      <c r="D9" s="3" t="inlineStr">
        <is>
          <t>Datacenter wholesale; raise to 0.10-0.12 for grid colo.</t>
        </is>
      </c>
    </row>
    <row r="10">
      <c r="A10" t="inlineStr">
        <is>
          <t>Cooling/ops overhead on energy</t>
        </is>
      </c>
      <c r="B10" s="52" t="n">
        <v>0.25</v>
      </c>
      <c r="C10" t="inlineStr">
        <is>
          <t>frac</t>
        </is>
      </c>
      <c r="D10" s="3" t="inlineStr">
        <is>
          <t>Non-power running cost as fraction of electricity.</t>
        </is>
      </c>
    </row>
    <row r="11">
      <c r="A11" t="inlineStr">
        <is>
          <t>Fleet useful life</t>
        </is>
      </c>
      <c r="B11" s="51" t="n">
        <v>4</v>
      </c>
      <c r="C11" t="inlineStr">
        <is>
          <t>yr</t>
        </is>
      </c>
      <c r="D11" s="3" t="inlineStr">
        <is>
          <t>AI-GPU depreciation life.</t>
        </is>
      </c>
    </row>
    <row r="12">
      <c r="A12" t="inlineStr">
        <is>
          <t>SpaceX market cap</t>
        </is>
      </c>
      <c r="B12" s="54" t="n">
        <v>1950</v>
      </c>
      <c r="C12" t="inlineStr">
        <is>
          <t>$B</t>
        </is>
      </c>
      <c r="D12" s="3" t="inlineStr">
        <is>
          <t>~$1.95T Aug 2026; IPO 2026-06-12 at ~$1.77T (market data; used by Sensitivity).</t>
        </is>
      </c>
    </row>
    <row r="13">
      <c r="A13" t="inlineStr">
        <is>
          <t>Datacenter scaling factor</t>
        </is>
      </c>
      <c r="B13" s="52" t="n">
        <v>0</v>
      </c>
      <c r="C13" t="inlineStr">
        <is>
          <t>frac</t>
        </is>
      </c>
      <c r="D13" s="3" t="inlineStr">
        <is>
          <t>TOGGLE 0-1. 0 = conservative (only accelerator silicon shrinks). 1 = whole AI datacenter (building/power/cooling/net) scales with the smaller fleet. ~0.7 ~= breakeven on net AI.</t>
        </is>
      </c>
    </row>
    <row r="14">
      <c r="A14" t="inlineStr">
        <is>
          <t>Named share of global AI capex</t>
        </is>
      </c>
      <c r="B14" s="52" t="n">
        <v>0.8</v>
      </c>
      <c r="C14" t="inlineStr">
        <is>
          <t>frac</t>
        </is>
      </c>
      <c r="D14" s="3" t="inlineStr">
        <is>
          <t>GLOBAL estimate (Totals): named firms' share of worldwide AI capex; the rest (other clouds, China, neoclouds, xAI, sovereign) is grossed up pro-rata. ESTIMATE.</t>
        </is>
      </c>
    </row>
    <row r="15">
      <c r="A15" s="34" t="inlineStr">
        <is>
          <t>REDUCTION ENGINE (Amdahl cost-weighting) — derived</t>
        </is>
      </c>
      <c r="B15" s="35" t="n"/>
      <c r="C15" s="35" t="n"/>
      <c r="D15" s="35" t="n"/>
    </row>
    <row r="16">
      <c r="A16" t="inlineStr">
        <is>
          <t>Compute share of GPU cost</t>
        </is>
      </c>
      <c r="B16" s="25">
        <f>1-B4</f>
        <v/>
      </c>
      <c r="D16" s="3" t="inlineStr">
        <is>
          <t>1 - memory share</t>
        </is>
      </c>
    </row>
    <row r="17">
      <c r="A17" t="inlineStr">
        <is>
          <t>Memory cost fraction after reduction</t>
        </is>
      </c>
      <c r="B17" s="55">
        <f>B4/B2</f>
        <v/>
      </c>
      <c r="D17" s="3" t="inlineStr">
        <is>
          <t>memory share / memory reduction</t>
        </is>
      </c>
    </row>
    <row r="18">
      <c r="A18" t="inlineStr">
        <is>
          <t>Compute cost fraction after reduction</t>
        </is>
      </c>
      <c r="B18" s="55">
        <f>B16/B3</f>
        <v/>
      </c>
      <c r="D18" s="3" t="inlineStr">
        <is>
          <t>compute share / FLOPs reduction</t>
        </is>
      </c>
    </row>
    <row r="19">
      <c r="A19" t="inlineStr">
        <is>
          <t>Residual cost fraction</t>
        </is>
      </c>
      <c r="B19" s="25">
        <f>B17+B18</f>
        <v/>
      </c>
      <c r="D19" s="3" t="inlineStr">
        <is>
          <t>Amdahl: floored by the least-reduced component</t>
        </is>
      </c>
    </row>
    <row r="20">
      <c r="A20" s="7" t="inlineStr">
        <is>
          <t>COST-WEIGHTED reduction factor</t>
        </is>
      </c>
      <c r="B20" s="50">
        <f>1/B19</f>
        <v/>
      </c>
      <c r="C20" t="inlineStr">
        <is>
          <t>x</t>
        </is>
      </c>
      <c r="D20" s="3" t="inlineStr">
        <is>
          <t>1 / residual. The realistic $ reduction used everywhere.</t>
        </is>
      </c>
    </row>
    <row r="22">
      <c r="A22" s="34" t="inlineStr">
        <is>
          <t>SCENARIOS (2026-09-01 ruling) — TODAY (default) vs CEILING (campaign landed)</t>
        </is>
      </c>
      <c r="B22" s="35" t="n"/>
      <c r="C22" s="35" t="n"/>
      <c r="D22" s="35" t="n"/>
    </row>
    <row r="23">
      <c r="A23" t="inlineStr">
        <is>
          <t>Equal-quality parameter ratio at 1T</t>
        </is>
      </c>
      <c r="B23" s="56" t="n">
        <v>4.2185</v>
      </c>
      <c r="C23" t="inlineStr">
        <is>
          <t>x</t>
        </is>
      </c>
      <c r="D23" s="3" t="inlineStr">
        <is>
          <t>FIT-DERIVED (sealed 2026-08-14 refit): bAttention matches the transformer fit's quality on 23.7% of the params at 1T -&gt; x4.22 compute per token at equal quality. 84.2% at 1B, 55.2% at 10B, 36.2% at 100B, 15.5% at 10T (x6.44). A projection of the two fits, not a measurement.</t>
        </is>
      </c>
    </row>
    <row r="24">
      <c r="A24" s="7" t="inlineStr">
        <is>
          <t>TODAY compute lever = serving lever x ratio</t>
        </is>
      </c>
      <c r="B24" s="57">
        <f>188.0305*$B$23</f>
        <v/>
      </c>
      <c r="C24" t="inlineStr">
        <is>
          <t>x</t>
        </is>
      </c>
      <c r="D24" s="3" t="inlineStr">
        <is>
          <t>B3 (the FLOPs lever) points here by default. The x188.0 serving half is model-computed (campaign_landed_flop_lever): decode 2.5 ms/token x 64 resident streams — an ESTIMATE, the aggregate-decode receipt is PENDING — with prefill at the BANKED x3.936 (our own step went 400.4 -&gt; 101.7 ms at B16/T2048; 2026-08-29 clean-wall position of record); transformer side stays the measured 1/context law at its KV ceiling, 128k E[context].</t>
        </is>
      </c>
    </row>
    <row r="25">
      <c r="A25" t="inlineStr">
        <is>
          <t>CEILING compute lever (campaign landed)</t>
        </is>
      </c>
      <c r="B25" s="42">
        <f>193.3376*$B$23</f>
        <v/>
      </c>
      <c r="C25" t="inlineStr">
        <is>
          <t>x</t>
        </is>
      </c>
      <c r="D25" s="3" t="inlineStr">
        <is>
          <t>Same full-workload lever with prefill at the full x7.03 maturity factor = x3.936 MEASURED (already banked) x x1.786 TARGET (the funded 8k-win gate, no receipt yet). Decode-dominated, so it sits only ~3% above TODAY. Overtype B3 with =B25 to run the workbook at the ceiling (~x154 cost-weighted — memory-floored; dollars move within rounding).</t>
        </is>
      </c>
    </row>
  </sheetData>
  <pageMargins left="0.75" right="0.75" top="1" bottom="1" header="0.5" footer="0.5"/>
</worksheet>
</file>

<file path=xl/worksheets/sheet12.xml><?xml version="1.0" encoding="utf-8"?>
<worksheet xmlns="http://schemas.openxmlformats.org/spreadsheetml/2006/main">
  <sheetPr>
    <tabColor rgb="00A6A6A6"/>
    <outlinePr summaryBelow="1" summaryRight="1"/>
    <pageSetUpPr/>
  </sheetPr>
  <dimension ref="A1:F19"/>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8" customWidth="1" min="5" max="5"/>
    <col width="18" customWidth="1" min="6" max="6"/>
  </cols>
  <sheetData>
    <row r="1">
      <c r="A1" s="34" t="inlineStr">
        <is>
          <t>SENSITIVITY (SpaceX) — TODAY vs CEILING vs live cost-weighted</t>
        </is>
      </c>
      <c r="B1" s="35" t="n"/>
      <c r="C1" s="35" t="n"/>
      <c r="D1" s="35" t="n"/>
      <c r="E1" s="35" t="n"/>
    </row>
    <row r="2">
      <c r="A2" s="7" t="inlineStr">
        <is>
          <t>Metric</t>
        </is>
      </c>
      <c r="B2" s="20" t="inlineStr">
        <is>
          <t>TODAY (~154x)</t>
        </is>
      </c>
      <c r="C2" s="20" t="inlineStr">
        <is>
          <t>CEILING (~154x)</t>
        </is>
      </c>
      <c r="D2" s="20" t="inlineStr">
        <is>
          <t>Cost-weighted (live)</t>
        </is>
      </c>
    </row>
    <row r="3">
      <c r="A3" t="inlineStr">
        <is>
          <t>Efficient acquisition ($B)</t>
        </is>
      </c>
      <c r="B3" s="42">
        <f>SpaceX!$B$12/(1/(Inputs!$B$4/Inputs!$B$2+(1-Inputs!$B$4)/Inputs!$B$24))</f>
        <v/>
      </c>
      <c r="C3" s="42">
        <f>SpaceX!$B$12/(1/(Inputs!$B$4/Inputs!$B$2+(1-Inputs!$B$4)/Inputs!$B$25))</f>
        <v/>
      </c>
      <c r="D3" s="42">
        <f>SpaceX!$B$12/(Inputs!$B$20)</f>
        <v/>
      </c>
    </row>
    <row r="4">
      <c r="A4" t="inlineStr">
        <is>
          <t>Capex avoided/yr ($B)</t>
        </is>
      </c>
      <c r="B4" s="42">
        <f>SpaceX!$B$12-SpaceX!$B$12/(1/(Inputs!$B$4/Inputs!$B$2+(1-Inputs!$B$4)/Inputs!$B$24))</f>
        <v/>
      </c>
      <c r="C4" s="42">
        <f>SpaceX!$B$12-SpaceX!$B$12/(1/(Inputs!$B$4/Inputs!$B$2+(1-Inputs!$B$4)/Inputs!$B$25))</f>
        <v/>
      </c>
      <c r="D4" s="42">
        <f>SpaceX!$B$12-SpaceX!$B$12/(Inputs!$B$20)</f>
        <v/>
      </c>
    </row>
    <row r="5">
      <c r="A5" t="inlineStr">
        <is>
          <t>Annual opex savings ($M)</t>
        </is>
      </c>
      <c r="B5" s="39">
        <f>SpaceX!$B$26</f>
        <v/>
      </c>
      <c r="C5" s="39">
        <f>SpaceX!$B$26</f>
        <v/>
      </c>
      <c r="D5" s="39">
        <f>SpaceX!$B$26</f>
        <v/>
      </c>
    </row>
    <row r="6">
      <c r="A6" t="inlineStr">
        <is>
          <t>Sustained annual benefit ($B)</t>
        </is>
      </c>
      <c r="B6" s="42">
        <f>(SpaceX!$B$12-SpaceX!$B$12/(1/(Inputs!$B$4/Inputs!$B$2+(1-Inputs!$B$4)/Inputs!$B$24)))+SpaceX!$B$26/1000</f>
        <v/>
      </c>
      <c r="C6" s="42">
        <f>(SpaceX!$B$12-SpaceX!$B$12/(1/(Inputs!$B$4/Inputs!$B$2+(1-Inputs!$B$4)/Inputs!$B$25)))+SpaceX!$B$26/1000</f>
        <v/>
      </c>
      <c r="D6" s="42">
        <f>(SpaceX!$B$12-SpaceX!$B$12/(Inputs!$B$20))+SpaceX!$B$26/1000</f>
        <v/>
      </c>
    </row>
    <row r="7">
      <c r="A7" t="inlineStr">
        <is>
          <t>Capitalized value ($B)</t>
        </is>
      </c>
      <c r="B7" s="41">
        <f>((SpaceX!$B$12-SpaceX!$B$12/(1/(Inputs!$B$4/Inputs!$B$2+(1-Inputs!$B$4)/Inputs!$B$24)))+SpaceX!$B$26/1000)/Inputs!$B$6</f>
        <v/>
      </c>
      <c r="C7" s="41">
        <f>((SpaceX!$B$12-SpaceX!$B$12/(1/(Inputs!$B$4/Inputs!$B$2+(1-Inputs!$B$4)/Inputs!$B$25)))+SpaceX!$B$26/1000)/Inputs!$B$6</f>
        <v/>
      </c>
      <c r="D7" s="41">
        <f>((SpaceX!$B$12-SpaceX!$B$12/(Inputs!$B$20))+SpaceX!$B$26/1000)/Inputs!$B$6</f>
        <v/>
      </c>
    </row>
    <row r="8">
      <c r="A8" t="inlineStr">
        <is>
          <t>% of market cap</t>
        </is>
      </c>
      <c r="B8" s="25">
        <f>(((SpaceX!$B$12-SpaceX!$B$12/(1/(Inputs!$B$4/Inputs!$B$2+(1-Inputs!$B$4)/Inputs!$B$24)))+SpaceX!$B$26/1000)/Inputs!$B$6)/Inputs!$B$12</f>
        <v/>
      </c>
      <c r="C8" s="25">
        <f>(((SpaceX!$B$12-SpaceX!$B$12/(1/(Inputs!$B$4/Inputs!$B$2+(1-Inputs!$B$4)/Inputs!$B$25)))+SpaceX!$B$26/1000)/Inputs!$B$6)/Inputs!$B$12</f>
        <v/>
      </c>
      <c r="D8" s="25">
        <f>(((SpaceX!$B$12-SpaceX!$B$12/(Inputs!$B$20))+SpaceX!$B$26/1000)/Inputs!$B$6)/Inputs!$B$12</f>
        <v/>
      </c>
    </row>
    <row r="10">
      <c r="A10" s="3" t="inlineStr">
        <is>
          <t>Base = SpaceX accelerator capex (SpaceX!B12), not total capex. The 'Cost-weighted' column ties to the SpaceX tab (B25/B27) at the conservative dc_scale=0.</t>
        </is>
      </c>
    </row>
    <row r="12">
      <c r="A12" s="34" t="inlineStr">
        <is>
          <t>CONTEXT SENSITIVITY — prefill share of serving cost vs fleet E[context]</t>
        </is>
      </c>
      <c r="B12" s="35" t="n"/>
      <c r="C12" s="35" t="n"/>
      <c r="D12" s="35" t="n"/>
      <c r="E12" s="35" t="n"/>
      <c r="F12" s="35" t="n"/>
    </row>
    <row r="13">
      <c r="A13" s="20" t="inlineStr">
        <is>
          <t>E[context]</t>
        </is>
      </c>
      <c r="B13" s="20" t="inlineStr">
        <is>
          <t>TF prefill share</t>
        </is>
      </c>
      <c r="C13" s="20" t="inlineStr">
        <is>
          <t>Our prefill share (Today)</t>
        </is>
      </c>
      <c r="D13" s="20" t="inlineStr">
        <is>
          <t>Today lever (x)</t>
        </is>
      </c>
      <c r="E13" s="20" t="inlineStr">
        <is>
          <t>Ceiling lever (x)</t>
        </is>
      </c>
      <c r="F13" s="20" t="inlineStr">
        <is>
          <t>Today-&gt;Ceiling gap</t>
        </is>
      </c>
    </row>
    <row r="14">
      <c r="A14" t="inlineStr">
        <is>
          <t>8k</t>
        </is>
      </c>
      <c r="B14" s="55" t="n">
        <v>0.005899250258734248</v>
      </c>
      <c r="C14" s="25" t="n">
        <v>0.05208995366081766</v>
      </c>
      <c r="D14" s="41" t="n">
        <v>50.29665229131971</v>
      </c>
      <c r="E14" s="41" t="n">
        <v>51.47706163855121</v>
      </c>
      <c r="F14" s="25" t="n">
        <v>0.02346894462069837</v>
      </c>
    </row>
    <row r="15">
      <c r="A15" t="inlineStr">
        <is>
          <t>32k</t>
        </is>
      </c>
      <c r="B15" s="55" t="n">
        <v>0.002981160980333002</v>
      </c>
      <c r="C15" s="25" t="n">
        <v>0.05196631516233694</v>
      </c>
      <c r="D15" s="41" t="n">
        <v>200.6239377794075</v>
      </c>
      <c r="E15" s="41" t="n">
        <v>205.3209324850361</v>
      </c>
      <c r="F15" s="25" t="n">
        <v>0.02341193557267873</v>
      </c>
    </row>
    <row r="16">
      <c r="A16" s="7" t="inlineStr">
        <is>
          <t>128k (pinned)</t>
        </is>
      </c>
      <c r="B16" s="55" t="n">
        <v>0.002359266800993781</v>
      </c>
      <c r="C16" s="25" t="n">
        <v>0.06235575593664416</v>
      </c>
      <c r="D16" s="41" t="n">
        <v>793.2064858179596</v>
      </c>
      <c r="E16" s="41" t="n">
        <v>815.5945097216911</v>
      </c>
      <c r="F16" s="25" t="n">
        <v>0.0282247110985796</v>
      </c>
    </row>
    <row r="17">
      <c r="A17" t="inlineStr">
        <is>
          <t>256k</t>
        </is>
      </c>
      <c r="B17" s="55" t="n">
        <v>0.00230050437708008</v>
      </c>
      <c r="C17" s="25" t="n">
        <v>0.08221381175542121</v>
      </c>
      <c r="D17" s="41" t="n">
        <v>1552.723400990788</v>
      </c>
      <c r="E17" s="41" t="n">
        <v>1611.029390134314</v>
      </c>
      <c r="F17" s="25" t="n">
        <v>0.03755078921739785</v>
      </c>
    </row>
    <row r="19">
      <c r="A19" s="3" t="inlineStr">
        <is>
          <t>Cost = box wall-clock, not FLOPs. The transformer's decode leg is KV-bandwidth-bound (measured 1/context law) while its prefill runs near peak, so prefill is &lt;1% of its serving cost at every context — which is why the banked x3.936 prefill (TODAY) and the full x7.03 (CEILING) land within a few percent of each other. Inputs!B24/B25 quote the pinned 128k row (2026-08-31 fleet-context ruling). Static values from the the model — rebuild the workbook to refresh.</t>
        </is>
      </c>
    </row>
  </sheetData>
  <mergeCells count="2">
    <mergeCell ref="A19:F19"/>
    <mergeCell ref="A10:E10"/>
  </mergeCells>
  <pageMargins left="0.75" right="0.75" top="1" bottom="1" header="0.5" footer="0.5"/>
</worksheet>
</file>

<file path=xl/worksheets/sheet13.xml><?xml version="1.0" encoding="utf-8"?>
<worksheet xmlns="http://schemas.openxmlformats.org/spreadsheetml/2006/main">
  <sheetPr>
    <tabColor rgb="00A6A6A6"/>
    <outlinePr summaryBelow="1" summaryRight="1"/>
    <pageSetUpPr/>
  </sheetPr>
  <dimension ref="A1:D19"/>
  <sheetViews>
    <sheetView workbookViewId="0">
      <selection activeCell="A1" sqref="A1"/>
    </sheetView>
  </sheetViews>
  <sheetFormatPr baseColWidth="8" defaultRowHeight="15"/>
  <cols>
    <col width="34" customWidth="1" min="1" max="1"/>
    <col width="11" customWidth="1" min="2" max="2"/>
    <col width="11" customWidth="1" min="3" max="3"/>
    <col width="62" customWidth="1" min="4" max="4"/>
  </cols>
  <sheetData>
    <row r="1">
      <c r="A1" s="34" t="inlineStr">
        <is>
          <t>COST LADDER — $/H100-equivalent GPU-hour (at scale). Green = market price; yellow = assumption.</t>
        </is>
      </c>
      <c r="B1" s="35" t="n"/>
      <c r="C1" s="35" t="n"/>
      <c r="D1" s="35" t="n"/>
    </row>
    <row r="2">
      <c r="A2" s="7" t="inlineStr">
        <is>
          <t>Procurement mode</t>
        </is>
      </c>
      <c r="B2" s="7" t="inlineStr">
        <is>
          <t>$/hr low</t>
        </is>
      </c>
      <c r="C2" s="7" t="inlineStr">
        <is>
          <t>$/hr high</t>
        </is>
      </c>
      <c r="D2" s="7" t="inlineStr">
        <is>
          <t>What's baked into the price</t>
        </is>
      </c>
    </row>
    <row r="3">
      <c r="A3" t="inlineStr">
        <is>
          <t>Own custom silicon (TPU/Trainium)</t>
        </is>
      </c>
      <c r="B3" s="58" t="n">
        <v>0.9</v>
      </c>
      <c r="C3" s="58" t="n">
        <v>1.4</v>
      </c>
      <c r="D3" s="3" t="inlineStr">
        <is>
          <t>COGS + modest Broadcom/Marvell margin + power + DC. NO NVIDIA margin.</t>
        </is>
      </c>
    </row>
    <row r="4">
      <c r="A4" t="inlineStr">
        <is>
          <t>Buy + operate NVIDIA (scale)</t>
        </is>
      </c>
      <c r="B4" s="58" t="n">
        <v>1.5</v>
      </c>
      <c r="C4" s="58" t="n">
        <v>2</v>
      </c>
      <c r="D4" s="3" t="inlineStr">
        <is>
          <t>NVIDIA ~84% gross margin baked into capex + power + DC.</t>
        </is>
      </c>
    </row>
    <row r="5">
      <c r="A5" t="inlineStr">
        <is>
          <t>Rent NVIDIA - neocloud / committed</t>
        </is>
      </c>
      <c r="B5" s="58" t="n">
        <v>2</v>
      </c>
      <c r="C5" s="58" t="n">
        <v>3.5</v>
      </c>
      <c r="D5" s="3" t="inlineStr">
        <is>
          <t>+ cloud provider capex recovery &amp; margin.</t>
        </is>
      </c>
    </row>
    <row r="6">
      <c r="A6" t="inlineStr">
        <is>
          <t>Rent NVIDIA - hyperscaler on-demand</t>
        </is>
      </c>
      <c r="B6" s="58" t="n">
        <v>3</v>
      </c>
      <c r="C6" s="58" t="n">
        <v>7</v>
      </c>
      <c r="D6" s="3" t="inlineStr">
        <is>
          <t>+ utilization risk + flexibility premium (new B200 to ~$14).</t>
        </is>
      </c>
    </row>
    <row r="8">
      <c r="A8" s="34" t="inlineStr">
        <is>
          <t>OWNED-NVIDIA TCO CROSS-CHECK (from Inputs)</t>
        </is>
      </c>
      <c r="B8" s="35" t="n"/>
      <c r="C8" s="35" t="n"/>
      <c r="D8" s="35" t="n"/>
    </row>
    <row r="9">
      <c r="A9" t="inlineStr">
        <is>
          <t>Utilization</t>
        </is>
      </c>
      <c r="B9" s="33" t="n">
        <v>0.85</v>
      </c>
    </row>
    <row r="10">
      <c r="A10" t="inlineStr">
        <is>
          <t>Capex $/hr</t>
        </is>
      </c>
      <c r="B10" s="42">
        <f>Inputs!$B$7/(Inputs!$B$11*8760*B9)</f>
        <v/>
      </c>
      <c r="D10" s="3" t="inlineStr">
        <is>
          <t>fully-loaded $/GPU / (life x 8760h x utilization)</t>
        </is>
      </c>
    </row>
    <row r="11">
      <c r="A11" t="inlineStr">
        <is>
          <t>Power $/hr</t>
        </is>
      </c>
      <c r="B11" s="42">
        <f>Inputs!$B$8*Inputs!$B$9</f>
        <v/>
      </c>
      <c r="D11" s="3" t="inlineStr">
        <is>
          <t>wall kW x $/kWh</t>
        </is>
      </c>
    </row>
    <row r="12">
      <c r="A12" t="inlineStr">
        <is>
          <t>DC/staff adder $/hr</t>
        </is>
      </c>
      <c r="B12" s="56" t="n">
        <v>0.3</v>
      </c>
    </row>
    <row r="13">
      <c r="A13" s="7" t="inlineStr">
        <is>
          <t>Owned TCO $/hr</t>
        </is>
      </c>
      <c r="B13" s="57">
        <f>B10+B11+B12</f>
        <v/>
      </c>
      <c r="D13" s="3" t="inlineStr">
        <is>
          <t>cross-checks the 'Buy + operate NVIDIA' row</t>
        </is>
      </c>
    </row>
    <row r="15">
      <c r="A15" s="3" t="inlineStr">
        <is>
          <t>MARGIN STACK: own-silicon -&gt; buy-NVIDIA ~1.4-2x (NVIDIA margin). buy -&gt; rent ~2-3.5x (cloud margin). own -&gt; rent ~3-5x.</t>
        </is>
      </c>
    </row>
    <row r="16">
      <c r="A16" s="3" t="inlineStr">
        <is>
          <t>B200 builds ~$6,400, sells ~$40,000 -&gt; ~84% gross margin. Hyperscalers charge 3-6x neocloud rates for identical HW.</t>
        </is>
      </c>
    </row>
    <row r="17">
      <c r="A17" s="3" t="inlineStr">
        <is>
          <t>OWN-SILICON: TPU/Trainium/MTIA cost ~1/3 less per useful FLOP than NVIDIA. The model values compute at each company's ACTUAL cost (no gross-up).</t>
        </is>
      </c>
    </row>
    <row r="18">
      <c r="A18" s="3" t="inlineStr">
        <is>
          <t>SemiAnalysis: TPU 20-50% lower TCO per useful FLOP vs GB200/GB300; Trainium3 ~30% better vs GB300.</t>
        </is>
      </c>
    </row>
    <row r="19">
      <c r="A19" s="3" t="inlineStr">
        <is>
          <t>Sources: Spheron/IntuitionLabs (rental), Silicon Analysts (B200 cost/margin), SemiAnalysis (TPU/Trainium TCO).</t>
        </is>
      </c>
    </row>
  </sheetData>
  <mergeCells count="5">
    <mergeCell ref="A17:D17"/>
    <mergeCell ref="A18:D18"/>
    <mergeCell ref="A15:D15"/>
    <mergeCell ref="A19:D19"/>
    <mergeCell ref="A16:D16"/>
  </mergeCells>
  <pageMargins left="0.75" right="0.75" top="1" bottom="1" header="0.5" footer="0.5"/>
</worksheet>
</file>

<file path=xl/worksheets/sheet14.xml><?xml version="1.0" encoding="utf-8"?>
<worksheet xmlns="http://schemas.openxmlformats.org/spreadsheetml/2006/main">
  <sheetPr>
    <tabColor rgb="00A6A6A6"/>
    <outlinePr summaryBelow="1" summaryRight="1"/>
    <pageSetUpPr/>
  </sheetPr>
  <dimension ref="A1:G125"/>
  <sheetViews>
    <sheetView workbookViewId="0">
      <selection activeCell="A1" sqref="A1"/>
    </sheetView>
  </sheetViews>
  <sheetFormatPr baseColWidth="8" defaultRowHeight="15"/>
  <cols>
    <col width="44" customWidth="1" min="1" max="1"/>
    <col width="42" customWidth="1" min="2" max="2"/>
    <col width="30" customWidth="1" min="3" max="3"/>
    <col width="14" customWidth="1" min="4" max="4"/>
    <col width="12" customWidth="1" min="5" max="5"/>
    <col width="60" customWidth="1" min="6" max="6"/>
  </cols>
  <sheetData>
    <row r="1">
      <c r="A1" s="34" t="inlineStr">
        <is>
          <t>SERVING &amp; TRAINING — measured 2026-08-07/08 (2/4/8 x H100), priced at the CostLadder rent mid ($2.50/GPU-hr). Source: internal measurement archive (keys in the model).</t>
        </is>
      </c>
      <c r="B1" s="35" t="n"/>
      <c r="C1" s="35" t="n"/>
      <c r="D1" s="35" t="n"/>
      <c r="E1" s="35" t="n"/>
      <c r="F1" s="35" t="n"/>
    </row>
    <row r="4">
      <c r="A4" s="34" t="inlineStr">
        <is>
          <t>WORKLOAD — measured pre-campaign blend (background; the workbook lever lives at Inputs B24/B25)</t>
        </is>
      </c>
      <c r="B4" s="35" t="n"/>
      <c r="C4" s="35" t="n"/>
      <c r="D4" s="35" t="n"/>
      <c r="E4" s="35" t="n"/>
      <c r="F4" s="35" t="n"/>
    </row>
    <row r="5">
      <c r="A5" s="3" t="inlineStr">
        <is>
          <t>Training, prefill and decode point in opposite directions at today's kernel maturity, so the compute lever is blended over the workload rather than fixed. Cost per GENERATED token = in:out input tokens through prefill + one token through decode. Transformer decode follows the MEASURED 1/context law at its own KV ceiling (granted no KV compression by default; raise the KV-compression cell below to grant it a mature stack).</t>
        </is>
      </c>
    </row>
    <row r="7">
      <c r="A7" t="inlineStr">
        <is>
          <t>Input : output token ratio</t>
        </is>
      </c>
      <c r="B7" s="51" t="n">
        <v>10</v>
      </c>
      <c r="F7" s="3" t="inlineStr">
        <is>
          <t>~10:1 = code / reasoning / agent traces. 50-100:1 = RAG and document QA.</t>
        </is>
      </c>
    </row>
    <row r="8">
      <c r="A8" t="inlineStr">
        <is>
          <t>E[context] (tokens)</t>
        </is>
      </c>
      <c r="B8" s="53" t="n">
        <v>65536</v>
      </c>
      <c r="F8" s="3" t="inlineStr">
        <is>
          <t>Our decode cost is context-flat and the transformer's is linear, so the decode advantage is linear in this.</t>
        </is>
      </c>
    </row>
    <row r="9">
      <c r="A9" t="inlineStr">
        <is>
          <t>Training share of accelerator cost</t>
        </is>
      </c>
      <c r="B9" s="56" t="n">
        <v>0</v>
      </c>
      <c r="F9" s="3" t="inlineStr">
        <is>
          <t>0 = a serving-cost claim. Training is a LOSS at short sequence today; above ~0.06 the blend drops below 1.</t>
        </is>
      </c>
    </row>
    <row r="11">
      <c r="A11" s="7" t="inlineStr">
        <is>
          <t>Measured constants</t>
        </is>
      </c>
    </row>
    <row r="12">
      <c r="A12" t="inlineStr">
        <is>
          <t>Owned decode, tokens/s/box (context-flat)</t>
        </is>
      </c>
      <c r="B12" s="38" t="n">
        <v>4496.668604837461</v>
      </c>
    </row>
    <row r="13">
      <c r="A13" t="inlineStr">
        <is>
          <t>KV MB per token per stream</t>
        </is>
      </c>
      <c r="B13" s="59" t="n">
        <v>0.15234375</v>
      </c>
    </row>
    <row r="14">
      <c r="A14" t="inlineStr">
        <is>
          <t>HBM TB/s per GPU</t>
        </is>
      </c>
      <c r="B14" s="56" t="n">
        <v>3.35</v>
      </c>
    </row>
    <row r="15">
      <c r="A15" t="inlineStr">
        <is>
          <t>Transformer KV compression (mature stack)</t>
        </is>
      </c>
      <c r="B15" s="51" t="n">
        <v>1</v>
      </c>
    </row>
    <row r="16">
      <c r="A16" t="inlineStr">
        <is>
          <t>GPUs per box</t>
        </is>
      </c>
      <c r="B16" s="60" t="n">
        <v>8</v>
      </c>
    </row>
    <row r="17">
      <c r="A17" t="inlineStr">
        <is>
          <t>Training advantage, short sequence (owned / transformer)</t>
        </is>
      </c>
      <c r="B17" s="61" t="n">
        <v>0.5825609168739003</v>
      </c>
      <c r="F17" s="3" t="inlineStr">
        <is>
          <t>RE-BASED 2026-08-24/25 (1 x GH200, ONE layer, fwd+bwd, bf16, checkpointing off both arms, modern transformer block 24Q/4KV head_dim 256 RoPE 64 gated): transformer is 1.72x faster at T=2,048 (101.7 vs 59.3 ms/step) and 1.79x at T=8,192; the equal-token B4/T32,768 ~parity cell is RETIRED 2026-08-25 as a B4 occupancy artifact, and the flat per-token model puts the crossover at a PROJECTED T~13,008 (from T~88,000 pre-campaign). It read 6.12x (400.4 ms) the same morning. Training PEAK MEMORY, same frame: 1.579x at T=2,048 (17,087.5 vs 10,823.6 MiB), from 2.829x -- that is TRAINING memory, not the /100 SERVING lever. TARGET (no receipt): T=8,192 step &lt;= 83.08 ms and memory 0.88x.</t>
        </is>
      </c>
    </row>
    <row r="19">
      <c r="A19" s="7" t="inlineStr">
        <is>
          <t>Derived</t>
        </is>
      </c>
    </row>
    <row r="20">
      <c r="A20" t="inlineStr">
        <is>
          <t>KV GB per stream</t>
        </is>
      </c>
      <c r="B20" s="42">
        <f>$B$8*$B$13/1024</f>
        <v/>
      </c>
    </row>
    <row r="21">
      <c r="A21" t="inlineStr">
        <is>
          <t>KV GB per stream, compressed</t>
        </is>
      </c>
      <c r="B21" s="62">
        <f>$B$20/$B$15</f>
        <v/>
      </c>
    </row>
    <row r="22">
      <c r="A22" t="inlineStr">
        <is>
          <t>Transformer decode, tokens/s/box</t>
        </is>
      </c>
      <c r="B22" s="41">
        <f>511.8416*32768/$B$8*$B$15*$B$16</f>
        <v/>
      </c>
      <c r="F22" s="3" t="inlineStr">
        <is>
          <t>MEASURED 1/context law (2026-08-14 re-base): 511.84 tok/s/GPU at 32,768 ctx x 32768/E[context] x KV-compression x GPUs. Crosses our flat 562/GPU near ~30k context.</t>
        </is>
      </c>
    </row>
    <row r="23">
      <c r="A23" t="inlineStr">
        <is>
          <t>Prefill table row (lookup)</t>
        </is>
      </c>
      <c r="B23" s="63">
        <f>MATCH($B$8,$A$33:$A$39,1)</f>
        <v/>
      </c>
    </row>
    <row r="24">
      <c r="A24" t="inlineStr">
        <is>
          <t>Prefill tokens/s/box — transformer</t>
        </is>
      </c>
      <c r="B24" s="41">
        <f>IF(INDEX($B$33:$B$39,MIN($B$23+1,7))=INDEX($B$33:$B$39,$B$23),INDEX($B$33:$B$39,$B$23),EXP(LN(INDEX($B$33:$B$39,$B$23))+(LN($B$8)-LN(INDEX($A$33:$A$39,$B$23)))/(LN(INDEX($A$33:$A$39,MIN($B$23+1,7)))-LN(INDEX($A$33:$A$39,$B$23)))*(LN(INDEX($B$33:$B$39,MIN($B$23+1,7)))-LN(INDEX($B$33:$B$39,$B$23)))))*$B$16</f>
        <v/>
      </c>
    </row>
    <row r="25">
      <c r="A25" t="inlineStr">
        <is>
          <t>Prefill tokens/s/box — owned</t>
        </is>
      </c>
      <c r="B25" s="41">
        <f>IF(INDEX($C$33:$C$39,MIN($B$23+1,7))=INDEX($C$33:$C$39,$B$23),INDEX($C$33:$C$39,$B$23),EXP(LN(INDEX($C$33:$C$39,$B$23))+(LN($B$8)-LN(INDEX($A$33:$A$39,$B$23)))/(LN(INDEX($A$33:$A$39,MIN($B$23+1,7)))-LN(INDEX($A$33:$A$39,$B$23)))*(LN(INDEX($C$33:$C$39,MIN($B$23+1,7)))-LN(INDEX($C$33:$C$39,$B$23)))))*$B$16</f>
        <v/>
      </c>
    </row>
    <row r="26">
      <c r="A26" t="inlineStr">
        <is>
          <t>Transformer seconds per generated token</t>
        </is>
      </c>
      <c r="B26" s="64">
        <f>$B$7/$B$24+1/$B$22</f>
        <v/>
      </c>
    </row>
    <row r="27">
      <c r="A27" t="inlineStr">
        <is>
          <t>Owned seconds per generated token</t>
        </is>
      </c>
      <c r="B27" s="64">
        <f>$B$7/$B$25+1/$B$12</f>
        <v/>
      </c>
    </row>
    <row r="28">
      <c r="A28" s="7" t="inlineStr">
        <is>
          <t>BLENDED COMPUTE LEVER (flop_factor)</t>
        </is>
      </c>
      <c r="B28" s="57">
        <f>IF($B$9&gt;0,1/($B$9/$B$17+(1-$B$9)/($B$26/$B$27)),$B$26/$B$27)</f>
        <v/>
      </c>
      <c r="F28" s="3" t="inlineStr">
        <is>
          <t>Measured pre-campaign workload blend (2026-08-14 basis), kept as BACKGROUND. RETIRED as the workbook lever 2026-09-01: Inputs!B24/B25 now carry the model-computed full-workload levers (decode 2.5 ms x 64 streams estimate; this cell no longer feeds Inputs!B3).</t>
        </is>
      </c>
    </row>
    <row r="29">
      <c r="A29" t="inlineStr">
        <is>
          <t xml:space="preserve">  of which: prefill advantage</t>
        </is>
      </c>
      <c r="B29" s="42">
        <f>($B$7/$B$24)/($B$7/$B$25)</f>
        <v/>
      </c>
    </row>
    <row r="30">
      <c r="A30" t="inlineStr">
        <is>
          <t xml:space="preserve">  of which: decode advantage</t>
        </is>
      </c>
      <c r="B30" s="65">
        <f>(1/$B$22)/(1/$B$12)</f>
        <v/>
      </c>
    </row>
    <row r="32">
      <c r="A32" s="7" t="inlineStr">
        <is>
          <t>Measured prefill throughput, tokens/s/GPU (bf16 saturated lane, d2048)</t>
        </is>
      </c>
      <c r="D32" s="66" t="inlineStr">
        <is>
          <t>Context</t>
        </is>
      </c>
      <c r="E32" s="66" t="inlineStr">
        <is>
          <t>Transformer</t>
        </is>
      </c>
      <c r="F32" s="66" t="inlineStr">
        <is>
          <t>Owned</t>
        </is>
      </c>
    </row>
    <row r="33">
      <c r="A33" s="67" t="n">
        <v>2048</v>
      </c>
      <c r="B33" s="38" t="n">
        <v>4682606.88285999</v>
      </c>
      <c r="C33" s="38" t="n">
        <v>1185825</v>
      </c>
    </row>
    <row r="34">
      <c r="A34" s="67" t="n">
        <v>8192</v>
      </c>
      <c r="B34" s="38" t="n">
        <v>3450080</v>
      </c>
      <c r="C34" s="38" t="n">
        <v>1183690</v>
      </c>
    </row>
    <row r="35">
      <c r="A35" s="67" t="n">
        <v>32768</v>
      </c>
      <c r="B35" s="38" t="n">
        <v>1711802</v>
      </c>
      <c r="C35" s="38" t="n">
        <v>1186661</v>
      </c>
    </row>
    <row r="36">
      <c r="A36" s="67" t="n">
        <v>65536</v>
      </c>
      <c r="B36" s="38" t="n">
        <v>1007187</v>
      </c>
      <c r="C36" s="38" t="n">
        <v>1181622</v>
      </c>
    </row>
    <row r="37">
      <c r="A37" s="67" t="n">
        <v>131072</v>
      </c>
      <c r="B37" s="38" t="n">
        <v>541094</v>
      </c>
      <c r="C37" s="38" t="n">
        <v>978107</v>
      </c>
    </row>
    <row r="38">
      <c r="A38" s="67" t="n">
        <v>262144</v>
      </c>
      <c r="B38" s="38" t="n">
        <v>277474</v>
      </c>
      <c r="C38" s="38" t="n">
        <v>726142</v>
      </c>
    </row>
    <row r="39">
      <c r="A39" s="67" t="n">
        <v>524288</v>
      </c>
      <c r="B39" s="38" t="n">
        <v>140820</v>
      </c>
      <c r="C39" s="38" t="n">
        <v>478522</v>
      </c>
    </row>
    <row r="41">
      <c r="A41" s="3" t="inlineStr">
        <is>
          <t>SCOPE: the serving and training blocks below are component-scope systems benches (bAttention d1536 fwd+bwd h-internal dynamics sub-block vs transformer d2048 forward-only layer); every speedup there is each family vs its OWN 1-GPU baseline. The prefill lanes quoted further down are cross-family: 16-bit parameter-matched at block scope (the fp32 full-model sweep is retired to an assumption row).</t>
        </is>
      </c>
    </row>
    <row r="43">
      <c r="A43" s="34" t="inlineStr">
        <is>
          <t>Serving at long context — $/1M generated tokens, one 8xH100 box</t>
        </is>
      </c>
      <c r="B43" s="35" t="n"/>
      <c r="C43" s="35" t="n"/>
      <c r="D43" s="35" t="n"/>
      <c r="E43" s="35" t="n"/>
      <c r="F43" s="35" t="n"/>
    </row>
    <row r="44">
      <c r="A44" s="66" t="inlineStr">
        <is>
          <t>Context (tokens)</t>
        </is>
      </c>
      <c r="B44" s="66" t="inlineStr">
        <is>
          <t>bAttention $/1M tok</t>
        </is>
      </c>
      <c r="C44" s="66" t="inlineStr">
        <is>
          <t>Transformer $/1M tok (mature stack)</t>
        </is>
      </c>
      <c r="D44" s="66" t="inlineStr">
        <is>
          <t>TF streams/GPU</t>
        </is>
      </c>
      <c r="E44" s="66" t="inlineStr">
        <is>
          <t>Cost ratio</t>
        </is>
      </c>
      <c r="F44" s="66" t="inlineStr">
        <is>
          <t>Note</t>
        </is>
      </c>
    </row>
    <row r="45">
      <c r="A45" s="67" t="n">
        <v>4096</v>
      </c>
      <c r="B45" s="68" t="n">
        <v>1.235482541359387</v>
      </c>
      <c r="C45" s="69" t="n">
        <v>0.1695945640120853</v>
      </c>
      <c r="D45" s="63" t="n">
        <v>118</v>
      </c>
      <c r="E45" s="70" t="n">
        <v>0.1372698992779634</v>
      </c>
      <c r="F45" s="24" t="inlineStr"/>
    </row>
    <row r="46">
      <c r="A46" s="67" t="n">
        <v>16384</v>
      </c>
      <c r="B46" s="68" t="n">
        <v>1.235482541359387</v>
      </c>
      <c r="C46" s="69" t="n">
        <v>0.678378256048341</v>
      </c>
      <c r="D46" s="63" t="n">
        <v>29</v>
      </c>
      <c r="E46" s="70" t="n">
        <v>0.5490795971118535</v>
      </c>
      <c r="F46" s="24" t="inlineStr"/>
    </row>
    <row r="47">
      <c r="A47" s="67" t="n">
        <v>32768</v>
      </c>
      <c r="B47" s="68" t="n">
        <v>1.235482541359387</v>
      </c>
      <c r="C47" s="69" t="n">
        <v>1.356756512096682</v>
      </c>
      <c r="D47" s="63" t="n">
        <v>14</v>
      </c>
      <c r="E47" s="70" t="n">
        <v>1.098159194223707</v>
      </c>
      <c r="F47" s="24" t="inlineStr"/>
    </row>
    <row r="48">
      <c r="A48" s="67" t="n">
        <v>65536</v>
      </c>
      <c r="B48" s="68" t="n">
        <v>1.235482541359387</v>
      </c>
      <c r="C48" s="69" t="n">
        <v>2.713513024193364</v>
      </c>
      <c r="D48" s="63" t="n">
        <v>7</v>
      </c>
      <c r="E48" s="70" t="n">
        <v>2.196318388447414</v>
      </c>
      <c r="F48" s="24" t="inlineStr"/>
    </row>
    <row r="49">
      <c r="A49" s="67" t="n">
        <v>131072</v>
      </c>
      <c r="B49" s="68" t="n">
        <v>1.235482541359387</v>
      </c>
      <c r="C49" s="69" t="n">
        <v>5.427026048386728</v>
      </c>
      <c r="D49" s="63" t="n">
        <v>3</v>
      </c>
      <c r="E49" s="70" t="n">
        <v>4.392636776894828</v>
      </c>
      <c r="F49" s="24" t="inlineStr"/>
    </row>
    <row r="50">
      <c r="A50" s="67" t="n">
        <v>262144</v>
      </c>
      <c r="B50" s="68" t="n">
        <v>1.235482541359387</v>
      </c>
      <c r="C50" s="69" t="n">
        <v>10.85405209677346</v>
      </c>
      <c r="D50" s="63" t="n">
        <v>1</v>
      </c>
      <c r="E50" s="70" t="n">
        <v>8.785273553789656</v>
      </c>
      <c r="F50" s="24" t="inlineStr">
        <is>
          <t>a measured decode cell (64 streams/GPU against the transformer 1)</t>
        </is>
      </c>
    </row>
    <row r="51">
      <c r="A51" s="67" t="n">
        <v>1048576</v>
      </c>
      <c r="B51" s="71" t="n">
        <v>1.235482541359387</v>
      </c>
      <c r="C51" s="69" t="n">
        <v/>
      </c>
      <c r="D51" s="63" t="n">
        <v>0</v>
      </c>
      <c r="E51" s="70" t="n">
        <v/>
      </c>
      <c r="F51" s="24" t="inlineStr">
        <is>
          <t>bAttention rate extrapolated past 262k (flatness measured 4k-262k)</t>
        </is>
      </c>
    </row>
    <row r="52">
      <c r="A52" s="3" t="inlineStr">
        <is>
          <t>RE-BASED 2026-08-14 on the full-model decode receipt: per-GPU aggregate throughput at each family's own concurrency ceiling, transformer granted no KV compression. Ratio ~ context/29,800, so the TRANSFORMER is ahead below ~30k context; x2.2 at 64k, x8.8 at 262k. Memory-ceiling result, not a per-token one - at one stream and 64k the transformer decodes a token faster than we do. Granting it KV /8: x1.1 at 262k.</t>
        </is>
      </c>
    </row>
    <row r="54">
      <c r="A54" s="34" t="inlineStr">
        <is>
          <t>Training at scale — same cluster, more steps/s</t>
        </is>
      </c>
      <c r="B54" s="35" t="n"/>
      <c r="C54" s="35" t="n"/>
      <c r="D54" s="35" t="n"/>
      <c r="E54" s="35" t="n"/>
      <c r="F54" s="35" t="n"/>
    </row>
    <row r="55">
      <c r="A55" s="66" t="inlineStr">
        <is>
          <t>Metric</t>
        </is>
      </c>
      <c r="B55" s="66" t="inlineStr">
        <is>
          <t>Value</t>
        </is>
      </c>
      <c r="C55" s="66" t="inlineStr">
        <is>
          <t>Ratio / consequence</t>
        </is>
      </c>
      <c r="D55" s="66" t="inlineStr"/>
      <c r="E55" s="66" t="inlineStr"/>
      <c r="F55" s="66" t="inlineStr">
        <is>
          <t>Status — internal measurement archive key</t>
        </is>
      </c>
    </row>
    <row r="56">
      <c r="A56" s="17" t="inlineStr">
        <is>
          <t>8-GPU speedup, matched load (16 in flight)</t>
        </is>
      </c>
      <c r="B56" s="72" t="inlineStr">
        <is>
          <t>x5.15 fwd+bwd vs x3.70 fwd-only Ulysses best</t>
        </is>
      </c>
      <c r="C56" s="73" t="inlineStr">
        <is>
          <t>x1.39 cluster throughput</t>
        </is>
      </c>
      <c r="F56" s="24" t="inlineStr">
        <is>
          <t>MEASURED — matched_load_curve</t>
        </is>
      </c>
    </row>
    <row r="57">
      <c r="A57" s="17" t="inlineStr">
        <is>
          <t>8-GPU speedup, deep load (256 in flight)</t>
        </is>
      </c>
      <c r="B57" s="72" t="inlineStr">
        <is>
          <t>x6.27 (pipeline keeps filling; TF saturated by 16)</t>
        </is>
      </c>
      <c r="C57" s="73" t="inlineStr">
        <is>
          <t>x1.70</t>
        </is>
      </c>
      <c r="F57" s="24" t="inlineStr">
        <is>
          <t>MEASURED — scaling_1to8_best</t>
        </is>
      </c>
    </row>
    <row r="58">
      <c r="A58" s="17" t="inlineStr">
        <is>
          <t>GPU-hours for the same training work</t>
        </is>
      </c>
      <c r="B58" s="74" t="inlineStr">
        <is>
          <t>-28% (matched) … -41% (deep)</t>
        </is>
      </c>
      <c r="C58" s="17" t="inlineStr"/>
      <c r="F58" s="24" t="inlineStr">
        <is>
          <t>derived</t>
        </is>
      </c>
    </row>
    <row r="59">
      <c r="A59" s="17" t="inlineStr">
        <is>
          <t>64k-token sequence on one 80 GB GPU</t>
        </is>
      </c>
      <c r="B59" s="72" t="inlineStr">
        <is>
          <t>30.9 GB fits vs OOM (78.4 GB attempted)</t>
        </is>
      </c>
      <c r="C59" s="17" t="inlineStr"/>
      <c r="F59" s="24" t="inlineStr">
        <is>
          <t>MEASURED — pipeline_feasibility</t>
        </is>
      </c>
    </row>
    <row r="60">
      <c r="A60" s="17" t="inlineStr">
        <is>
          <t>Pipeline per-GPU peak (flat in load)</t>
        </is>
      </c>
      <c r="B60" s="72" t="inlineStr">
        <is>
          <t>9.05 GB vs 43.3 GB GPipe stage</t>
        </is>
      </c>
      <c r="C60" s="73" t="inlineStr">
        <is>
          <t>x4.8 (component-scope, width-unmatched)</t>
        </is>
      </c>
      <c r="F60" s="24" t="inlineStr">
        <is>
          <t>MEASURED — pipeline_memory_asymmetry</t>
        </is>
      </c>
    </row>
    <row r="61">
      <c r="A61" s="17" t="inlineStr">
        <is>
          <t>Params for equal quality at 70B</t>
        </is>
      </c>
      <c r="B61" s="75" t="inlineStr">
        <is>
          <t>x4.1 [2.2-7.7] transformer</t>
        </is>
      </c>
      <c r="C61" s="17" t="inlineStr"/>
      <c r="F61" s="24" t="inlineStr">
        <is>
          <t>PROJECTION — quality_fit.ref_70B</t>
        </is>
      </c>
    </row>
    <row r="62">
      <c r="A62" s="17" t="inlineStr">
        <is>
          <t>Tokens for equal quality at 70B</t>
        </is>
      </c>
      <c r="B62" s="75" t="inlineStr">
        <is>
          <t>x1.68 [1.33-2.10] (beta=0.28 assumption)</t>
        </is>
      </c>
      <c r="C62" s="17" t="inlineStr"/>
      <c r="F62" s="24" t="inlineStr">
        <is>
          <t>PROJECTION — quality_fit.ref_70B</t>
        </is>
      </c>
    </row>
    <row r="63">
      <c r="A63" s="17" t="inlineStr">
        <is>
          <t>Token-by-token vs production training</t>
        </is>
      </c>
      <c r="B63" s="72" t="inlineStr">
        <is>
          <t>x24 cost to run training token-by-token instead of the production path</t>
        </is>
      </c>
      <c r="C63" s="17" t="inlineStr"/>
      <c r="F63" s="24" t="inlineStr">
        <is>
          <t>MEASURED — token-by-token ratio</t>
        </is>
      </c>
    </row>
    <row r="65">
      <c r="A65" s="34" t="inlineStr">
        <is>
          <t>The measured workload blend (pre-campaign background; the workbook lever lives at Inputs B24/B25)</t>
        </is>
      </c>
      <c r="B65" s="35" t="n"/>
      <c r="C65" s="35" t="n"/>
      <c r="D65" s="35" t="n"/>
      <c r="E65" s="35" t="n"/>
      <c r="F65" s="35" t="n"/>
    </row>
    <row r="66">
      <c r="A66" s="3" t="inlineStr">
        <is>
          <t>Training, prefill and decode point in OPPOSITE directions at today's kernel maturity, so a single number cannot represent them. Training is still a loss at short sequence, but a much smaller one since the 2026-08-24 kernel re-base (transformer 1.72x faster at T=2,048 and 1.79x at T=8,192, crossover near T~13,000 (2026-08-29 anchor); it was 5.3-9.6x with a crossover near T~88,000 on the pre-campaign d1152 sweep). Prefill crosses over near 65k context. Decode crosses in our favour near ~30k context. The lever is therefore blended over the workload: per generated token, in:out input tokens through prefill plus one token through decode, using measured per-GPU throughput at each family's own concurrency ceiling, the transformer granted no KV compression. At the default operating point (10:1, 64k context, training share 0): prefill x1.17, decode x2.20, blended x2.19, with decode ~99.7% of transformer serving cost. The decode half is a MEMORY CEILING, not a per-token result - at one stream and 64k the transformer decodes a token more cheaply than we do - and it crosses 1 at ~30k context, below which the transformer wins. Granting it KV/8 divides our decode lever by 8. A training share above ~0.30 also takes the blend below 1 (it was ~0.06 before the kernel re-base). All are reachable in the live model. NOTE (2026-09-01): this blend was measured on the PRE-CAMPAIGN kernels and no longer sets the workbook's flop_factor — the scenario levers at Inputs B24/B25 fold in the banked kernel results and the aggregate-decode estimate.</t>
        </is>
      </c>
    </row>
    <row r="68">
      <c r="A68" s="34" t="inlineStr">
        <is>
          <t>Estimated TRAINING cost at equal quality (ESTIMATE: measured kernels x fitted quality)</t>
        </is>
      </c>
      <c r="B68" s="35" t="n"/>
      <c r="C68" s="35" t="n"/>
      <c r="D68" s="35" t="n"/>
      <c r="E68" s="35" t="n"/>
      <c r="F68" s="35" t="n"/>
    </row>
    <row r="69">
      <c r="A69" s="3" t="inlineStr">
        <is>
          <t>Training compute ~ 6*N*D FLOPs. At equal quality we need N/s parameters, where s(N) is the FIT-DERIVED equal-quality parameter ratio (the same sealed 2026-08-14 refit as the compute lever). Two token regimes differ by exactly one power of s: COMPUTE-OPTIMAL (Chinchilla, D proportional to N -&gt; cost ratio s^2/r) and FIXED TOKEN BUDGET (D equal on both arms -&gt; s/r). r(T) is the step-time ratio at matched parameters: MEASURED at T=2,048 (1.72x, 2026-08-25) and T=8,192 (1.79x, 2026-08-24), MODELED beyond. Above 1.00 we are cheaper to train to the same quality. The 256k column is MODELED from the per-token cost form -- the transformer pays base + attn*T per token (FlashAttention is linear per token), our O(1) internal state pays ~flat -- with base and attn fitted to the 2k and 8k cells ONLY. The fit is flat -- the +5.8%-per-4x residual and the B4/T32,768 ~parity cell that shared it are RETIRED 2026-08-25 as a B4 occupancy artifact -- and puts the crossover at a PROJECTED T~13,008. The old constant-decay extrapolation (0.758 per 4x) is kept as the CONSERVATIVE bound and reads 0.65 at 256k against this form's 0.10. The fits cross at 392M, so below that we need MORE parameters, and every row past ~1B extrapolates beyond the measured 47M-663M rungs. Peak training memory (1.58x measured, 0.88x targeted) is NOT in this model: it caps per-GPU batch density, not FLOPs. Chart: internal measurement archive</t>
        </is>
      </c>
    </row>
    <row r="71">
      <c r="A71" s="66" t="inlineStr">
        <is>
          <t>Transformer params</t>
        </is>
      </c>
      <c r="B71" s="66" t="inlineStr">
        <is>
          <t>s(N) fit</t>
        </is>
      </c>
      <c r="C71" s="66" t="inlineStr">
        <is>
          <t>Chinchilla 2k</t>
        </is>
      </c>
      <c r="D71" s="66" t="inlineStr">
        <is>
          <t>Chinchilla 8k</t>
        </is>
      </c>
      <c r="E71" s="66" t="inlineStr">
        <is>
          <t>Chinchilla 32k</t>
        </is>
      </c>
      <c r="F71" s="66" t="inlineStr">
        <is>
          <t>Chinchilla 256k*</t>
        </is>
      </c>
      <c r="G71" s="66" t="inlineStr">
        <is>
          <t>Fixed-D 2k / 8k / 32k / 256k*</t>
        </is>
      </c>
    </row>
    <row r="72">
      <c r="A72" s="17" t="inlineStr">
        <is>
          <t>1B</t>
        </is>
      </c>
      <c r="B72" s="56" t="n">
        <v>1.187536580013817</v>
      </c>
      <c r="C72" s="42" t="n">
        <v>0.8215525301701575</v>
      </c>
      <c r="D72" s="42" t="n">
        <v>1.151570796996963</v>
      </c>
      <c r="E72" s="42" t="n">
        <v>2.471643864304184</v>
      </c>
      <c r="F72" s="42" t="n">
        <v>14.79232582583825</v>
      </c>
      <c r="G72" s="73" t="inlineStr">
        <is>
          <t>0.69 / 0.97 / 2.08 / 12.46</t>
        </is>
      </c>
    </row>
    <row r="73">
      <c r="A73" s="17" t="inlineStr">
        <is>
          <t>10B</t>
        </is>
      </c>
      <c r="B73" s="56" t="n">
        <v>1.811968550196262</v>
      </c>
      <c r="C73" s="42" t="n">
        <v>1.912681494778985</v>
      </c>
      <c r="D73" s="42" t="n">
        <v>2.681007084096966</v>
      </c>
      <c r="E73" s="42" t="n">
        <v>5.754309441368888</v>
      </c>
      <c r="F73" s="42" t="n">
        <v>34.43846477590683</v>
      </c>
      <c r="G73" s="73" t="inlineStr">
        <is>
          <t>1.06 / 1.48 / 3.18 / 19.01</t>
        </is>
      </c>
    </row>
    <row r="74">
      <c r="A74" s="17" t="inlineStr">
        <is>
          <t>100B</t>
        </is>
      </c>
      <c r="B74" s="56" t="n">
        <v>2.764740120141925</v>
      </c>
      <c r="C74" s="42" t="n">
        <v>4.452972106010361</v>
      </c>
      <c r="D74" s="42" t="n">
        <v>6.241734336892029</v>
      </c>
      <c r="E74" s="42" t="n">
        <v>13.3967832604187</v>
      </c>
      <c r="F74" s="42" t="n">
        <v>80.17723988000094</v>
      </c>
      <c r="G74" s="73" t="inlineStr">
        <is>
          <t>1.61 / 2.26 / 4.85 / 29.00</t>
        </is>
      </c>
    </row>
    <row r="75">
      <c r="A75" s="17" t="inlineStr">
        <is>
          <t>1T</t>
        </is>
      </c>
      <c r="B75" s="56" t="n">
        <v>4.21849922897088</v>
      </c>
      <c r="C75" s="42" t="n">
        <v>10.36710013195259</v>
      </c>
      <c r="D75" s="42" t="n">
        <v>14.53157202136217</v>
      </c>
      <c r="E75" s="42" t="n">
        <v>31.1894595790005</v>
      </c>
      <c r="F75" s="42" t="n">
        <v>186.6630767836249</v>
      </c>
      <c r="G75" s="73" t="inlineStr">
        <is>
          <t>2.46 / 3.44 / 7.39 / 44.25</t>
        </is>
      </c>
    </row>
    <row r="76">
      <c r="A76" s="17" t="inlineStr">
        <is>
          <t>10T</t>
        </is>
      </c>
      <c r="B76" s="56" t="n">
        <v>6.436675771144228</v>
      </c>
      <c r="C76" s="42" t="n">
        <v>24.13596191201503</v>
      </c>
      <c r="D76" s="42" t="n">
        <v>33.83139589327395</v>
      </c>
      <c r="E76" s="42" t="n">
        <v>72.61313181830963</v>
      </c>
      <c r="F76" s="42" t="n">
        <v>434.576000451976</v>
      </c>
      <c r="G76" s="73" t="inlineStr">
        <is>
          <t>3.75 / 5.26 / 11.28 / 67.52</t>
        </is>
      </c>
    </row>
    <row r="78">
      <c r="A78" s="3" t="inlineStr">
        <is>
          <t>TRAINING IS A CURRICULUM, NOT ONE CONTEXT. Quoting r at a single T assumes ALL training happens there; this model used to assume T=2,048 for all of it, which is the pessimistic corner. The correct training term is the ratio of COSTS integrated over the mix of contexts a run actually uses, NOT the average of the per-context ratios. That distinction does the work: our per-token cost is flat in context and the transformer's grows, so long-context tokens dominate its bill while staying a token minority. TOKEN SHARES BELOW ARE ILLUSTRATIVE KNOBS -- this repo carries no citation for any lab's training recipe and none is invented here; only the first row (the degenerate one-context case) is anchored to a measurement. Effective r crosses below 1 at every modern mix, but RAISING the dollar headline is a higher bar: the blended lever is a cost-weighted harmonic mean, so training only pushes the headline up once it beats the SERVING advantage of 2.19x, not merely 1.00x. Between the two it is profitable and still dilutive.</t>
        </is>
      </c>
    </row>
    <row r="80">
      <c r="A80" s="66" t="inlineStr">
        <is>
          <t>Training curriculum</t>
        </is>
      </c>
      <c r="B80" s="66" t="inlineStr">
        <is>
          <t>Advantage (TF / ours)</t>
        </is>
      </c>
      <c r="C80" s="66" t="inlineStr">
        <is>
          <t>Effective r</t>
        </is>
      </c>
      <c r="D80" s="66" t="inlineStr">
        <is>
          <t>Mix: token share -&gt; transformer cost share</t>
        </is>
      </c>
      <c r="E80" s="66" t="inlineStr">
        <is>
          <t>FY25 cut @ 20% training</t>
        </is>
      </c>
      <c r="F80" s="66" t="inlineStr">
        <is>
          <t>vs serving-only</t>
        </is>
      </c>
      <c r="G80" s="66" t="inlineStr">
        <is>
          <t>Status</t>
        </is>
      </c>
    </row>
    <row r="81">
      <c r="A81" s="17" t="inlineStr">
        <is>
          <t>Legacy short (all training at 2k)</t>
        </is>
      </c>
      <c r="B81" s="76" t="n">
        <v>0.5825609168739004</v>
      </c>
      <c r="C81" s="77" t="n">
        <v>1.716558682594317</v>
      </c>
      <c r="D81" s="24" t="inlineStr">
        <is>
          <t>2k: 100% tok -&gt; 100% cost</t>
        </is>
      </c>
      <c r="E81" s="78" t="n">
        <v>149.7773849697697</v>
      </c>
      <c r="F81" s="79" t="n">
        <v>-10.77282758605313</v>
      </c>
      <c r="G81" s="80" t="inlineStr">
        <is>
          <t>MEASURED (degenerate one-context case)</t>
        </is>
      </c>
    </row>
    <row r="82">
      <c r="A82" s="17" t="inlineStr">
        <is>
          <t>Modern standard (8k bulk + 64k/256k extension)</t>
        </is>
      </c>
      <c r="B82" s="76" t="n">
        <v>2.220667013967386</v>
      </c>
      <c r="C82" s="77" t="n">
        <v>0.4503151502275102</v>
      </c>
      <c r="D82" s="24" t="inlineStr">
        <is>
          <t>8k: 70% tok -&gt; 26% cost  64k: 20% tok -&gt; 27% cost  256k: 10% tok -&gt; 47% cost</t>
        </is>
      </c>
      <c r="E82" s="78" t="n">
        <v>153.657942599222</v>
      </c>
      <c r="F82" s="79" t="n">
        <v>-6.892269956600785</v>
      </c>
      <c r="G82" s="81" t="inlineStr">
        <is>
          <t>ILLUSTRATIVE ASSUMPTION</t>
        </is>
      </c>
    </row>
    <row r="83">
      <c r="A83" s="17" t="inlineStr">
        <is>
          <t>Long-context heavy (frontier extension phases)</t>
        </is>
      </c>
      <c r="B83" s="76" t="n">
        <v>7.743424712739709</v>
      </c>
      <c r="C83" s="77" t="n">
        <v>0.1291418251093435</v>
      </c>
      <c r="D83" s="24" t="inlineStr">
        <is>
          <t>8k: 40% tok -&gt; 4% cost  64k: 25% tok -&gt; 10% cost  256k: 25% tok -&gt; 34% cost  1024k: 10% tok -&gt; 52% cost</t>
        </is>
      </c>
      <c r="E83" s="78" t="n">
        <v>154.6422173973205</v>
      </c>
      <c r="F83" s="79" t="n">
        <v>-5.907995158502331</v>
      </c>
      <c r="G83" s="81" t="inlineStr">
        <is>
          <t>ILLUSTRATIVE ASSUMPTION</t>
        </is>
      </c>
    </row>
    <row r="84">
      <c r="A84" s="17" t="inlineStr">
        <is>
          <t>Frontier + long-rollout RL</t>
        </is>
      </c>
      <c r="B84" s="76" t="n">
        <v>12.08050561742532</v>
      </c>
      <c r="C84" s="77" t="n">
        <v>0.08277799221893223</v>
      </c>
      <c r="D84" s="24" t="inlineStr">
        <is>
          <t>8k: 30% tok -&gt; 2% cost  64k: 20% tok -&gt; 5% cost  256k: 30% tok -&gt; 26% cost  1024k: 20% tok -&gt; 67% cost</t>
        </is>
      </c>
      <c r="E84" s="78" t="n">
        <v>154.784305013845</v>
      </c>
      <c r="F84" s="79" t="n">
        <v>-5.765907541977811</v>
      </c>
      <c r="G84" s="81" t="inlineStr">
        <is>
          <t>ILLUSTRATIVE ASSUMPTION</t>
        </is>
      </c>
    </row>
    <row r="86">
      <c r="A86" s="3" t="inlineStr">
        <is>
          <t>EXCLUDED, AND IT RUNS OUR WAY. At 262k+ the transformer additionally pays sequence-parallelism and activation-memory costs an O(1) internal state avoids: its KV grows at 156 KB per token of context per stream, which is what forces sharding, ring/Ulysses attention and their communication overhead. Our own measurement shows the asymmetry in the small -- from 2k to 8k the peak-memory ratio went 1.579x -&gt; 1.567x, i.e. flat-to-falling in context, while the absolute footprint the transformer must shard keeps growing. None of it is in the cost model above, which counts step time only, so the omission is CONSERVATIVE. Quantifying it needs a multi-GPU long-context TRAINING receipt we do not have.</t>
        </is>
      </c>
    </row>
    <row r="88">
      <c r="A88" s="3" t="inlineStr">
        <is>
          <t>The prefill component, 16-bit and parameter-matched — the lane the competition serves in. Parameter counts exactly matched, 1 layer, batch 16, 1 x H100 80GB HBM3, 2026-07-21 — x4.02 at d512/1M, x3.83 at d1024/1M, x2.01 at d2048/262k. The fp32 full-model sweep and the own-baseline 16-bit-IO training gate are retired to one assumption row each below. Receipts: internal measurement archive{512,1024,2048}internal measurement archive</t>
        </is>
      </c>
    </row>
    <row r="90">
      <c r="A90" s="66" t="inlineStr">
        <is>
          <t>Context (tokens)</t>
        </is>
      </c>
      <c r="B90" s="66" t="inlineStr">
        <is>
          <t>Transformer ms</t>
        </is>
      </c>
      <c r="C90" s="66" t="inlineStr">
        <is>
          <t>bAttention ms</t>
        </is>
      </c>
      <c r="D90" s="66" t="inlineStr">
        <is>
          <t>TF / bAttention</t>
        </is>
      </c>
      <c r="E90" s="66" t="inlineStr"/>
      <c r="F90" s="66" t="inlineStr">
        <is>
          <t>Note</t>
        </is>
      </c>
    </row>
    <row r="91">
      <c r="A91" s="67" t="n">
        <v>2048</v>
      </c>
      <c r="B91" s="39" t="n">
        <v>111.229</v>
      </c>
      <c r="C91" s="36" t="n">
        <v>663.1130000000001</v>
      </c>
      <c r="D91" s="76" t="n">
        <v>0.16773762541226</v>
      </c>
      <c r="F91" s="24" t="inlineStr">
        <is>
          <t>transformer ahead</t>
        </is>
      </c>
    </row>
    <row r="92">
      <c r="A92" s="67" t="n">
        <v>4096</v>
      </c>
      <c r="B92" s="39" t="n">
        <v>125.091</v>
      </c>
      <c r="C92" s="36" t="n">
        <v>662.751</v>
      </c>
      <c r="D92" s="76" t="n">
        <v>0.1887450943114382</v>
      </c>
      <c r="F92" s="24" t="inlineStr">
        <is>
          <t>transformer ahead</t>
        </is>
      </c>
    </row>
    <row r="93">
      <c r="A93" s="67" t="n">
        <v>8192</v>
      </c>
      <c r="B93" s="39" t="n">
        <v>153.085</v>
      </c>
      <c r="C93" s="36" t="n">
        <v>663.327</v>
      </c>
      <c r="D93" s="76" t="n">
        <v>0.2307836104967836</v>
      </c>
      <c r="F93" s="24" t="inlineStr">
        <is>
          <t>transformer ahead</t>
        </is>
      </c>
    </row>
    <row r="94">
      <c r="A94" s="67" t="n">
        <v>16384</v>
      </c>
      <c r="B94" s="39" t="n">
        <v>204.919</v>
      </c>
      <c r="C94" s="36" t="n">
        <v>663.202</v>
      </c>
      <c r="D94" s="76" t="n">
        <v>0.3089842913622094</v>
      </c>
      <c r="F94" s="24" t="inlineStr">
        <is>
          <t>transformer ahead</t>
        </is>
      </c>
    </row>
    <row r="95">
      <c r="A95" s="67" t="n">
        <v>32768</v>
      </c>
      <c r="B95" s="39" t="n">
        <v>309.886</v>
      </c>
      <c r="C95" s="36" t="n">
        <v>662.6180000000001</v>
      </c>
      <c r="D95" s="76" t="n">
        <v>0.4676691547769605</v>
      </c>
      <c r="F95" s="24" t="inlineStr">
        <is>
          <t>transformer ahead</t>
        </is>
      </c>
    </row>
    <row r="96">
      <c r="A96" s="67" t="n">
        <v>65536</v>
      </c>
      <c r="B96" s="39" t="n">
        <v>520.986</v>
      </c>
      <c r="C96" s="36" t="n">
        <v>663.199</v>
      </c>
      <c r="D96" s="76" t="n">
        <v>0.7855651169558459</v>
      </c>
      <c r="F96" s="24" t="inlineStr">
        <is>
          <t>transformer ahead</t>
        </is>
      </c>
    </row>
    <row r="97">
      <c r="A97" s="67" t="n">
        <v>131072</v>
      </c>
      <c r="B97" s="39" t="n">
        <v>969.79</v>
      </c>
      <c r="C97" s="36" t="n">
        <v>753.457</v>
      </c>
      <c r="D97" s="76" t="n">
        <v>1.287120565606265</v>
      </c>
      <c r="F97" s="24" t="inlineStr"/>
    </row>
    <row r="98">
      <c r="A98" s="67" t="n">
        <v>262144</v>
      </c>
      <c r="B98" s="39" t="n">
        <v>1889.616</v>
      </c>
      <c r="C98" s="36" t="n">
        <v>938.175</v>
      </c>
      <c r="D98" s="76" t="n">
        <v>2.014140219042289</v>
      </c>
      <c r="F98" s="24" t="inlineStr"/>
    </row>
    <row r="99">
      <c r="A99" s="67" t="n">
        <v>524288</v>
      </c>
      <c r="B99" s="39" t="n">
        <v>3718.717</v>
      </c>
      <c r="C99" s="36" t="n">
        <v>1308.837</v>
      </c>
      <c r="D99" s="76" t="n">
        <v>2.841237678947035</v>
      </c>
      <c r="F99" s="24" t="inlineStr"/>
    </row>
    <row r="101">
      <c r="A101" s="34" t="inlineStr">
        <is>
          <t>Assumptions — one row each (MEASURED / PROJECTION / ASSUMPTION)</t>
        </is>
      </c>
      <c r="B101" s="35" t="n"/>
      <c r="C101" s="35" t="n"/>
      <c r="D101" s="35" t="n"/>
      <c r="E101" s="35" t="n"/>
      <c r="F101" s="35" t="n"/>
    </row>
    <row r="102">
      <c r="A102" s="66" t="inlineStr">
        <is>
          <t>Assumption</t>
        </is>
      </c>
      <c r="B102" s="66" t="inlineStr">
        <is>
          <t>Value</t>
        </is>
      </c>
      <c r="C102" s="66" t="inlineStr"/>
      <c r="D102" s="66" t="inlineStr"/>
      <c r="E102" s="66" t="inlineStr">
        <is>
          <t>Status</t>
        </is>
      </c>
      <c r="F102" s="66" t="inlineStr">
        <is>
          <t>Source</t>
        </is>
      </c>
    </row>
    <row r="103">
      <c r="A103" s="17" t="inlineStr">
        <is>
          <t>Compute lever (Today, 2026-09-01 re-base)</t>
        </is>
      </c>
      <c r="B103" s="24" t="inlineStr">
        <is>
          <t>x793 = full-workload serving lever (decode 2.5 ms/token x 64 streams ESTIMATE, prefill at the BANKED x3.94) x the x4.22 FIT-DERIVED equal-quality ratio at trillion scale; Ceiling = same at the full x7.03 maturity factor (x816)</t>
        </is>
      </c>
      <c r="E103" s="81" t="inlineStr">
        <is>
          <t>ESTIMATE x PROJECTION</t>
        </is>
      </c>
      <c r="F103" s="24" t="inlineStr">
        <is>
          <t>the model; aggregate-decode receipt PENDING (internal measurement archive)</t>
        </is>
      </c>
    </row>
    <row r="104">
      <c r="A104" s="17" t="inlineStr">
        <is>
          <t>Equal-quality parameter matching</t>
        </is>
      </c>
      <c r="B104" s="24" t="inlineStr">
        <is>
          <t>sealed 2026-08-14 refit, 4 rungs per family (47M-663M params): the fits cross at 392M and bAttention then matches the transformer fit's quality on 84.2% of the params at 1B, 55.2% at 10B, 36.2% at 100B, 23.7% at 1T, 15.5% at 10T. The receipt's own words: 'a projection of the two fits, not a measurement'</t>
        </is>
      </c>
      <c r="E104" s="81" t="inlineStr">
        <is>
          <t>PROJECTION</t>
        </is>
      </c>
      <c r="F104" s="24" t="inlineStr">
        <is>
          <t>internal measurement archive param_matching; fits over the sealed rope-convention ladder</t>
        </is>
      </c>
    </row>
    <row r="105">
      <c r="A105" s="17" t="inlineStr">
        <is>
          <t>Single-GPU training step (AGAINST us)</t>
        </is>
      </c>
      <c r="B105" s="24" t="inlineStr">
        <is>
          <t>RE-BASED 2026-08-24: on one GH200, single layer, fwd+bwd, bf16, checkpointing off both arms, against a MODERN transformer block (24Q/4KV, head_dim 256, RoPE 64, gated attention), a bAttention step costs x1.72 MORE at T=2,048 (101.7 vs 59.3 ms/step) and x1.79 at T=8,192. It read x6.116 (400.4 ms) the same morning and x6.46 on the older d1536/27L fp16 601-step receipt. Fwd x1.82, bwd x2.35. Training is still excluded from the serving claim, but the gap is now a kernel-program line item with a funded gate, not a structural loss</t>
        </is>
      </c>
      <c r="E105" s="80" t="inlineStr">
        <is>
          <t>MEASURED</t>
        </is>
      </c>
      <c r="F105" s="24" t="inlineStr">
        <is>
          <t>2026-08-24 GH200 megakernel measurement; prior: internal measurement archive rows[fp16]</t>
        </is>
      </c>
    </row>
    <row r="106">
      <c r="A106" s="17" t="inlineStr">
        <is>
          <t>Training PEAK MEMORY (AGAINST us)</t>
        </is>
      </c>
      <c r="B106" s="24" t="inlineStr">
        <is>
          <t>x1.579 at T=2,048 (17,087.5 vs 10,823.6 MiB) and x1.567 at T=8,192, down from x2.829 the same morning. This is TRAINING peak memory and is NOT the mem_factor lever, which is SERVING state (O(1) internal state vs O(T) KV cache) and is unaffected. It is not an input to the cost model; it caps per-GPU batch density</t>
        </is>
      </c>
      <c r="E106" s="80" t="inlineStr">
        <is>
          <t>MEASURED</t>
        </is>
      </c>
      <c r="F106" s="24" t="inlineStr">
        <is>
          <t>2026-08-24 GH200 megakernel measurement</t>
        </is>
      </c>
    </row>
    <row r="107">
      <c r="A107" s="17" t="inlineStr">
        <is>
          <t>Kernel program (TARGET, not a result)</t>
        </is>
      </c>
      <c r="B107" s="24" t="inlineStr">
        <is>
          <t>the funded 8k-win gate is a T=8,192 step at or below 83.08 ms, i.e. x1.786 still to remove (44% of the step). Named levers: recompute removal ~-12.8 ms; backward-fold + occupancy redesign (~3x headroom in the dominant fused kernel); copies elimination (24.8% of the step). Memory target x0.88 (parity or below). the model = the MEASURED x3.936 already banked x this x1.786 target</t>
        </is>
      </c>
      <c r="E107" s="81" t="inlineStr">
        <is>
          <t>TARGET</t>
        </is>
      </c>
      <c r="F107" s="24" t="inlineStr">
        <is>
          <t>kernel-campaign program plan, 2026-08-24 — no receipt behind the target half</t>
        </is>
      </c>
    </row>
    <row r="108">
      <c r="A108" s="17" t="inlineStr">
        <is>
          <t>Context scaling of the training gap</t>
        </is>
      </c>
      <c r="B108" s="24" t="inlineStr">
        <is>
          <t>at matched tokens/step, 2k -&gt; 8k (4x context): our step grows x1.000, the transformer's x1.319, so the ratio decays x0.758 per 4x. The equal-token B4/T32,768 ~parity cell is RETIRED 2026-08-25 as a B4 occupancy artifact (it shared the retired growth residual); the flat per-token model puts the crossover at a PROJECTED T~13,000 (the model, 2026-08-29 anchor). Holding the old x0.802 decay constant instead would say x1.43 at 32k and a crossover near T~310,000 - that is the CONSERVATIVE extrapolation, because the transformer's quadratic attention term makes its per-4x growth rise with context while ours stays flat</t>
        </is>
      </c>
      <c r="E108" s="81" t="inlineStr">
        <is>
          <t>MEASURED (2 ratio points) + PROJECTION</t>
        </is>
      </c>
      <c r="F108" s="24" t="inlineStr">
        <is>
          <t>2026-08-24 GH200 megakernel measurement; 2k cell re-based 2026-08-25</t>
        </is>
      </c>
    </row>
    <row r="109">
      <c r="A109" s="17" t="inlineStr">
        <is>
          <t>Training CONTEXT MIX (reads the other way)</t>
        </is>
      </c>
      <c r="B109" s="24" t="inlineStr">
        <is>
          <t>quoting one context for all of training is the pessimistic corner, and it was this model's old implicit assumption. Cost-weighted over a curriculum the training term flips from a DRAG to a CONTRIBUTOR: x0.583 at 100% 2k, x2.22 at a modern 8k/64k/256k mix, x7.74 long-context-heavy, x12.08 with long RL rollouts. The mechanism: our per-token cost is FLAT in context and the transformer's GROWS, so long-context tokens dominate its bill as a token minority — 10% of tokens at 262k is 47% of its training cost. r(T) is MEASURED at 2k/8k and MODELED beyond; the curriculum SHARES are ILLUSTRATIVE and exposed as knobs (this repo carries no citation for any lab's recipe)</t>
        </is>
      </c>
      <c r="E109" s="81" t="inlineStr">
        <is>
          <t>MEASURED r(T) + ILLUSTRATIVE mix</t>
        </is>
      </c>
      <c r="F109" s="24" t="inlineStr">
        <is>
          <t>the model, the model, the model</t>
        </is>
      </c>
    </row>
    <row r="110">
      <c r="A110" s="17" t="inlineStr">
        <is>
          <t>Long-context training memory (EXCLUDED, runs our way)</t>
        </is>
      </c>
      <c r="B110" s="24" t="inlineStr">
        <is>
          <t>at 262k+ the transformer additionally pays sequence-parallelism and activation-memory costs that an O(1) internal state does not: its KV grows at 156 KB per token of context per stream, which is what forces sharding, ring/Ulysses attention and their communication overhead. Our own measurement shows the asymmetry in the small: peak training memory grew only x0.993 relative to the transformer's from 2k to 8k (x1.579 -&gt; x1.567), i.e. the ratio is FLAT-to-falling in context while the absolute gap the transformer must shard grows. NOT in the cost model — the training advantage above counts FLOPs/step-time only, so the direction of this omission is CONSERVATIVE (it understates us at long context). Quantifying it needs a multi-GPU long-context training receipt we do not have</t>
        </is>
      </c>
      <c r="E110" s="81" t="inlineStr">
        <is>
          <t>DIRECTIONAL — measured components, not a costed lever</t>
        </is>
      </c>
      <c r="F110" s="24" t="inlineStr">
        <is>
          <t>the model mem_ratio_2k/8k; the model</t>
        </is>
      </c>
    </row>
    <row r="111">
      <c r="A111" s="17" t="inlineStr">
        <is>
          <t>$/GPU-hour</t>
        </is>
      </c>
      <c r="B111" s="24" t="inlineStr">
        <is>
          <t>$2.50 (H100 rent, neocloud/committed mid; ladder 2.00-3.50)</t>
        </is>
      </c>
      <c r="E111" s="81" t="inlineStr">
        <is>
          <t>ASSUMPTION</t>
        </is>
      </c>
      <c r="F111" s="24" t="inlineStr">
        <is>
          <t>this file's CostLadder row — unchanged rate basis</t>
        </is>
      </c>
    </row>
    <row r="112">
      <c r="A112" s="17" t="inlineStr">
        <is>
          <t>Utilization</t>
        </is>
      </c>
      <c r="B112" s="24" t="inlineStr">
        <is>
          <t>85%</t>
        </is>
      </c>
      <c r="E112" s="81" t="inlineStr">
        <is>
          <t>ASSUMPTION</t>
        </is>
      </c>
      <c r="F112" s="24" t="inlineStr">
        <is>
          <t>same value as the ladder's owned-TCO cross-check</t>
        </is>
      </c>
    </row>
    <row r="113">
      <c r="A113" s="17" t="inlineStr">
        <is>
          <t>Context-length mix</t>
        </is>
      </c>
      <c r="B113" s="24" t="inlineStr">
        <is>
          <t>headline quoted at 262k (a measured decode cell); table sweeps 4k-1M. The decode lever crosses 1 at ~29,800 tokens and BELOW that the transformer serves more tokens per GPU-second than we do — stated on every surface</t>
        </is>
      </c>
      <c r="E113" s="81" t="inlineStr">
        <is>
          <t>ASSUMPTION</t>
        </is>
      </c>
      <c r="F113" s="24" t="inlineStr">
        <is>
          <t>serving_cost_curve, decode_throughput_ratio</t>
        </is>
      </c>
    </row>
    <row r="114">
      <c r="A114" s="17" t="inlineStr">
        <is>
          <t>Decode lever is MEMORY-CEILING, not latency (READ FIRST)</t>
        </is>
      </c>
      <c r="B114" s="24" t="inlineStr">
        <is>
          <t>per generated token at ONE stream the transformer is AHEAD of us at 64k context — 4.92 vs 5.74 GPU-busy per token. The lever is that it cannot hold many long-context streams: it re-reads its whole KV cache per emitted token, so its aggregate throughput falls as 1/context while ours is flat. Measured: 1 stream at 262k (2 OOM — an exact ceiling) and 8 streams at 32k (16 OOM, so that ceiling is only bracketed at 8-15 and the 32k cell is a bounded x0.97-1.14, near parity) against 64 of ours in 1.62 GB</t>
        </is>
      </c>
      <c r="E114" s="80" t="inlineStr">
        <is>
          <t>MEASURED</t>
        </is>
      </c>
      <c r="F114" s="24" t="inlineStr">
        <is>
          <t>internal measurement archive; the model</t>
        </is>
      </c>
    </row>
    <row r="115">
      <c r="A115" s="17" t="inlineStr">
        <is>
          <t>Transformer-stack maturity</t>
        </is>
      </c>
      <c r="B115" s="24" t="inlineStr">
        <is>
          <t>NOT GRANTED by default since the 2026-08-14 re-base: the headline runs on the measured cells, in which neither family's decode is optimised (ours ran the unoptimised per-step path at 9.5% GPU-busy while the transformer sat at 95.6%). Setting tf_kv_compression=8.0 grants it paged attention + KV quantization, divides our decode lever by 8 and puts the TRANSFORMER ahead at 64k — reported, not hidden</t>
        </is>
      </c>
      <c r="E115" s="81" t="inlineStr">
        <is>
          <t>ASSUMPTION</t>
        </is>
      </c>
      <c r="F115" s="24" t="inlineStr">
        <is>
          <t>the model</t>
        </is>
      </c>
    </row>
    <row r="116">
      <c r="A116" s="17" t="inlineStr">
        <is>
          <t>bAttention serving throughput</t>
        </is>
      </c>
      <c r="B116" s="24" t="inlineStr">
        <is>
          <t>562 tok/s/GPU (4,497/box): 64 concurrent 262,144-token streams on one GPU, context-flat 32k-262k (-4.0%). The 64-stream cell is a grid cap, not a ceiling — 1.62 GB of state on a 96 GB card at 9.5% GPU-busy — so it is a LOWER bound. Supersedes a 349,880 tok/s/box figure measured on the h-carry-only proxy</t>
        </is>
      </c>
      <c r="E116" s="80" t="inlineStr">
        <is>
          <t>MEASURED</t>
        </is>
      </c>
      <c r="F116" s="24" t="inlineStr">
        <is>
          <t>internal measurement archive rows[bAttention, 64 streams]</t>
        </is>
      </c>
    </row>
    <row r="117">
      <c r="A117" s="17" t="inlineStr">
        <is>
          <t>bAttention per-stream state</t>
        </is>
      </c>
      <c r="B117" s="24" t="inlineStr">
        <is>
          <t>25.4 MB/stream, the FULL internal cell (h + M memory), 24.2 MiB measured, context-flat. The 0.15 MB figure previously quoted was an h-carry-only proxy with no M memory and is retired as a headline</t>
        </is>
      </c>
      <c r="E117" s="80" t="inlineStr">
        <is>
          <t>MEASURED</t>
        </is>
      </c>
      <c r="F117" s="24" t="inlineStr">
        <is>
          <t>internal measurement archive state_bytes_per_stream</t>
        </is>
      </c>
    </row>
    <row r="118">
      <c r="A118" s="17" t="inlineStr">
        <is>
          <t>Transformer KV wall</t>
        </is>
      </c>
      <c r="B118" s="24" t="inlineStr">
        <is>
          <t>197 KB per token of context per stream as reserved end-to-end (51.5 GB for one 262,144-token stream; the linear KV fit alone is 156 KB/token, the rest is workspace) — a 2nd stream OOMs a 96 GB card, and 16 streams OOM it at 32,768 tokens. Its retired 88.5 per-token decode cost was inflated by a growing-KV re-planning harness artifact; the traced figure is 14.92 GPU-busy at 262k</t>
        </is>
      </c>
      <c r="E118" s="80" t="inlineStr">
        <is>
          <t>MEASURED</t>
        </is>
      </c>
      <c r="F118" s="24" t="inlineStr">
        <is>
          <t>internal measurement archive rows[transformer]</t>
        </is>
      </c>
    </row>
    <row r="119">
      <c r="A119" s="17" t="inlineStr">
        <is>
          <t>Training throughput at 8 GPUs</t>
        </is>
      </c>
      <c r="B119" s="24" t="inlineStr">
        <is>
          <t>x5.15 (bAttention, fwd+bwd) vs x3.70 (transformer Ulysses best, forward-only) at matched 16-in-flight load -&gt; x1.39; x6.27 at 256 in flight -&gt; x1.70</t>
        </is>
      </c>
      <c r="E119" s="80" t="inlineStr">
        <is>
          <t>MEASURED</t>
        </is>
      </c>
      <c r="F119" s="24" t="inlineStr">
        <is>
          <t>internal measurement archive matched_load_curve, scaling_1to8_best</t>
        </is>
      </c>
    </row>
    <row r="120">
      <c r="A120" s="17" t="inlineStr">
        <is>
          <t>Memory walls (component scope)</t>
        </is>
      </c>
      <c r="B120" s="24" t="inlineStr">
        <is>
          <t>64k-token sequence: 30.9 GB (fits 1 GPU) vs OOM at 78.4 GB attempted; pipeline stage 9.05 GB flat vs GPipe 43.3 GB</t>
        </is>
      </c>
      <c r="E120" s="80" t="inlineStr">
        <is>
          <t>MEASURED</t>
        </is>
      </c>
      <c r="F120" s="24" t="inlineStr">
        <is>
          <t>internal measurement archive pipeline_feasibility, pipeline_memory_asymmetry</t>
        </is>
      </c>
    </row>
    <row r="121">
      <c r="A121" s="17" t="inlineStr">
        <is>
          <t>Compute lever (flop_factor)</t>
        </is>
      </c>
      <c r="B121" s="24" t="inlineStr">
        <is>
          <t>cross-family prefill, bf16, 1xH100, parameter counts exactly matched, block scope (1 layer, batch 16): TF/bAttention 4.02 at d512/1M, 3.83 at d1024/1M, 2.01 at d2048/262k. Short context favours the transformer and is stated so. NOTE: measured on the PRE-CAMPAIGN kernels and not re-run since 2026-08-24, so the TODAY lever is conservative; the realized x3.936 sits in the model, not here</t>
        </is>
      </c>
      <c r="E121" s="80" t="inlineStr">
        <is>
          <t>MEASURED</t>
        </is>
      </c>
      <c r="F121" s="24" t="inlineStr">
        <is>
          <t>matched_d{512,1024,2048}internal measurement archive (2026-07-21)</t>
        </is>
      </c>
    </row>
    <row r="122">
      <c r="A122" s="17" t="inlineStr">
        <is>
          <t>Compute, fp32 lane (scope reference)</t>
        </is>
      </c>
      <c r="B122" s="24" t="inlineStr">
        <is>
          <t>the d2048/24-layer fp32 sweep gives 7.91 at 262k at full-model scope. No fp32 FlashAttention kernel exists, so that lane runs mem-efficient attention on the transformer and the owned arm is fp16 internally; params 16.7% apart. Full model in bf16 has not been run</t>
        </is>
      </c>
      <c r="E122" s="81" t="inlineStr">
        <is>
          <t>LABEL</t>
        </is>
      </c>
      <c r="F122" s="24" t="inlineStr">
        <is>
          <t>internal measurement archive sdpa_fp32_backend_probe + last_route_attestation</t>
        </is>
      </c>
    </row>
    <row r="123">
      <c r="A123" s="17" t="inlineStr">
        <is>
          <t>16-bit IO (training)</t>
        </is>
      </c>
      <c r="B123" s="24" t="inlineStr">
        <is>
          <t>same-arch GH200 gate at d1536: fp16 x1.185 step time and -17.5% peak memory, bf16 x1.171 and -20.6%; quality deltas +0.001 to +0.004 from the gate's smaller vehicle. Reported on its own; not an input to the compute lever</t>
        </is>
      </c>
      <c r="E123" s="80" t="inlineStr">
        <is>
          <t>MEASURED</t>
        </is>
      </c>
      <c r="F123" s="24" t="inlineStr">
        <is>
          <t>internal measurement archive (2026-08-09)</t>
        </is>
      </c>
    </row>
    <row r="124">
      <c r="A124" s="17" t="inlineStr">
        <is>
          <t>Quality parity at 70B</t>
        </is>
      </c>
      <c r="B124" s="24" t="inlineStr">
        <is>
          <t>transformer needs x4.1 params [2.2-7.7] or x1.7 tokens [1.33-2.10, beta=0.28 assumption]; crossover N* ~321M = the top measured rung</t>
        </is>
      </c>
      <c r="E124" s="81" t="inlineStr">
        <is>
          <t>PROJECTION</t>
        </is>
      </c>
      <c r="F124" s="24" t="inlineStr">
        <is>
          <t>internal measurement archive quality_fit.ref_70B, parity_cost</t>
        </is>
      </c>
    </row>
    <row r="125">
      <c r="A125" s="17" t="inlineStr">
        <is>
          <t>Scope</t>
        </is>
      </c>
      <c r="B125" s="24" t="inlineStr">
        <is>
          <t>systems numbers are component-scope (bAttention d1536 fwd+bwd h-internal dynamics sub-block vs transformer d2048 forward-only layer); every speedup is vs the family's OWN 1-GPU baseline</t>
        </is>
      </c>
      <c r="E125" s="81" t="inlineStr">
        <is>
          <t>LABEL</t>
        </is>
      </c>
      <c r="F125" s="24" t="inlineStr">
        <is>
          <t>internal measurement archive scope_reconciliation; deck README</t>
        </is>
      </c>
    </row>
  </sheetData>
  <pageMargins left="0.75" right="0.75" top="1" bottom="1" header="0.5" footer="0.5"/>
</worksheet>
</file>

<file path=xl/worksheets/sheet15.xml><?xml version="1.0" encoding="utf-8"?>
<worksheet xmlns="http://schemas.openxmlformats.org/spreadsheetml/2006/main">
  <sheetPr>
    <tabColor rgb="00A6A6A6"/>
    <outlinePr summaryBelow="1" summaryRight="1"/>
    <pageSetUpPr/>
  </sheetPr>
  <dimension ref="A1:D31"/>
  <sheetViews>
    <sheetView workbookViewId="0">
      <selection activeCell="A1" sqref="A1"/>
    </sheetView>
  </sheetViews>
  <sheetFormatPr baseColWidth="8" defaultRowHeight="15"/>
  <cols>
    <col width="40" customWidth="1" min="1" max="1"/>
    <col width="14" customWidth="1" min="2" max="2"/>
    <col width="12" customWidth="1" min="3" max="3"/>
    <col width="52" customWidth="1" min="4" max="4"/>
  </cols>
  <sheetData>
    <row r="1">
      <c r="A1" s="34" t="inlineStr">
        <is>
          <t>EVIDENCE — cost split, accelerator share, own-silicon TCO, filing data</t>
        </is>
      </c>
      <c r="B1" s="35" t="n"/>
      <c r="C1" s="35" t="n"/>
      <c r="D1" s="35" t="n"/>
    </row>
    <row r="3">
      <c r="A3" s="7" t="inlineStr">
        <is>
          <t>GPU cost split (BOM)</t>
        </is>
      </c>
      <c r="B3" t="inlineStr">
        <is>
          <t>$ cost</t>
        </is>
      </c>
      <c r="C3" t="inlineStr">
        <is>
          <t>% COGS</t>
        </is>
      </c>
      <c r="D3" s="3" t="inlineStr">
        <is>
          <t>Method 1: teardown = true resource cost</t>
        </is>
      </c>
    </row>
    <row r="4">
      <c r="A4" t="inlineStr">
        <is>
          <t>H100: HBM3 memory (80GB)</t>
        </is>
      </c>
      <c r="B4" t="n">
        <v>1350</v>
      </c>
      <c r="C4" t="inlineStr">
        <is>
          <t>41%</t>
        </is>
      </c>
      <c r="D4" s="3" t="inlineStr">
        <is>
          <t>MEMORY</t>
        </is>
      </c>
    </row>
    <row r="5">
      <c r="A5" t="inlineStr">
        <is>
          <t>H100: CoWoS packaging</t>
        </is>
      </c>
      <c r="B5" t="n">
        <v>750</v>
      </c>
      <c r="C5" t="inlineStr">
        <is>
          <t>23%</t>
        </is>
      </c>
      <c r="D5" s="3" t="inlineStr">
        <is>
          <t>mostly memory (interposer hosts HBM)</t>
        </is>
      </c>
    </row>
    <row r="6">
      <c r="A6" t="inlineStr">
        <is>
          <t>H100: test &amp; assembly</t>
        </is>
      </c>
      <c r="B6" t="n">
        <v>920</v>
      </c>
      <c r="C6" t="inlineStr">
        <is>
          <t>28%</t>
        </is>
      </c>
      <c r="D6" s="3" t="inlineStr">
        <is>
          <t>shared</t>
        </is>
      </c>
    </row>
    <row r="7">
      <c r="A7" t="inlineStr">
        <is>
          <t>H100: logic die (compute)</t>
        </is>
      </c>
      <c r="B7" t="n">
        <v>300</v>
      </c>
      <c r="C7" t="inlineStr">
        <is>
          <t>9%</t>
        </is>
      </c>
      <c r="D7" s="3" t="inlineStr">
        <is>
          <t>COMPUTE -- cheapest part</t>
        </is>
      </c>
    </row>
    <row r="8">
      <c r="A8" t="inlineStr">
        <is>
          <t>H100 total COGS</t>
        </is>
      </c>
      <c r="B8" t="n">
        <v>3320</v>
      </c>
      <c r="C8" t="inlineStr">
        <is>
          <t>100%</t>
        </is>
      </c>
      <c r="D8" s="3" t="inlineStr">
        <is>
          <t>sells ~$28k -&gt; ~88% margin</t>
        </is>
      </c>
    </row>
    <row r="9">
      <c r="A9" t="inlineStr">
        <is>
          <t>B200 total COGS</t>
        </is>
      </c>
      <c r="B9" t="n">
        <v>6400</v>
      </c>
      <c r="C9" t="inlineStr">
        <is>
          <t>HBM 45%</t>
        </is>
      </c>
      <c r="D9" s="3" t="inlineStr">
        <is>
          <t>memory &gt; logic die; sells ~$40k -&gt; ~84% margin</t>
        </is>
      </c>
    </row>
    <row r="11">
      <c r="A11" s="7" t="inlineStr">
        <is>
          <t>Accelerator share of server BOM</t>
        </is>
      </c>
      <c r="B11" t="inlineStr"/>
      <c r="C11" t="inlineStr"/>
      <c r="D11" s="3" t="inlineStr">
        <is>
          <t>for accel-within-server share</t>
        </is>
      </c>
    </row>
    <row r="12">
      <c r="A12" t="inlineStr">
        <is>
          <t>8x H100 server (J.P. Morgan)</t>
        </is>
      </c>
      <c r="B12" t="inlineStr">
        <is>
          <t>83%</t>
        </is>
      </c>
      <c r="C12" t="inlineStr"/>
      <c r="D12" s="3" t="inlineStr">
        <is>
          <t>accelerator = $200k of $240k</t>
        </is>
      </c>
    </row>
    <row r="13">
      <c r="A13" t="inlineStr">
        <is>
          <t>8x A100 server (J.P. Morgan)</t>
        </is>
      </c>
      <c r="B13" t="inlineStr">
        <is>
          <t>71%</t>
        </is>
      </c>
      <c r="C13" t="inlineStr"/>
      <c r="D13" s="3" t="inlineStr">
        <is>
          <t>GB200 rack ~76-80% (SemiAnalysis)</t>
        </is>
      </c>
    </row>
    <row r="15">
      <c r="A15" s="7" t="inlineStr">
        <is>
          <t>Own-silicon vs NVIDIA (TCO)</t>
        </is>
      </c>
      <c r="B15" t="inlineStr"/>
      <c r="C15" t="inlineStr"/>
      <c r="D15" s="3" t="inlineStr">
        <is>
          <t>cheaper, but valued at cost in model</t>
        </is>
      </c>
    </row>
    <row r="16">
      <c r="A16" t="inlineStr">
        <is>
          <t>Google TPU v7 vs GB200/GB300</t>
        </is>
      </c>
      <c r="B16" t="inlineStr">
        <is>
          <t>20-50% lower</t>
        </is>
      </c>
      <c r="C16" t="inlineStr"/>
      <c r="D16" s="3" t="inlineStr">
        <is>
          <t>per useful FLOP (SemiAnalysis)</t>
        </is>
      </c>
    </row>
    <row r="17">
      <c r="A17" t="inlineStr">
        <is>
          <t>Amazon Trainium3 vs GB300</t>
        </is>
      </c>
      <c r="B17" t="inlineStr">
        <is>
          <t>~30% better</t>
        </is>
      </c>
      <c r="C17" t="inlineStr"/>
      <c r="D17" s="3" t="inlineStr">
        <is>
          <t>chips ~1/3 cheaper to build</t>
        </is>
      </c>
    </row>
    <row r="19">
      <c r="A19" s="7" t="inlineStr">
        <is>
          <t>Filing data (FY2025 actuals)</t>
        </is>
      </c>
      <c r="B19" t="inlineStr">
        <is>
          <t>total capex</t>
        </is>
      </c>
      <c r="C19" t="inlineStr">
        <is>
          <t>server life</t>
        </is>
      </c>
      <c r="D19" s="3" t="inlineStr">
        <is>
          <t>DISCLOSED top-lines</t>
        </is>
      </c>
    </row>
    <row r="20">
      <c r="A20" t="inlineStr">
        <is>
          <t>Microsoft (Jun'25, incl leases)</t>
        </is>
      </c>
      <c r="B20" t="inlineStr">
        <is>
          <t>~$88B</t>
        </is>
      </c>
      <c r="C20" t="inlineStr">
        <is>
          <t>2-6 yr</t>
        </is>
      </c>
      <c r="D20" s="3" t="inlineStr">
        <is>
          <t>'roughly half' short-lived (CFO)</t>
        </is>
      </c>
    </row>
    <row r="21">
      <c r="A21" t="inlineStr">
        <is>
          <t>Alphabet</t>
        </is>
      </c>
      <c r="B21" t="inlineStr">
        <is>
          <t>$91.4B</t>
        </is>
      </c>
      <c r="C21" t="inlineStr">
        <is>
          <t>6 yr</t>
        </is>
      </c>
      <c r="D21" s="3" t="inlineStr">
        <is>
          <t>60% servers / 40% DC (CFO)</t>
        </is>
      </c>
    </row>
    <row r="22">
      <c r="A22" t="inlineStr">
        <is>
          <t>Amazon (cash capex)</t>
        </is>
      </c>
      <c r="B22" t="inlineStr">
        <is>
          <t>$128.3B</t>
        </is>
      </c>
      <c r="C22" t="inlineStr">
        <is>
          <t>5 yr (cut)</t>
        </is>
      </c>
      <c r="D22" s="3" t="inlineStr">
        <is>
          <t>AWS 67.8% of net P&amp;E additions</t>
        </is>
      </c>
    </row>
    <row r="23">
      <c r="A23" t="inlineStr">
        <is>
          <t>Meta (incl finance leases)</t>
        </is>
      </c>
      <c r="B23" t="inlineStr">
        <is>
          <t>$72.2B</t>
        </is>
      </c>
      <c r="C23" t="inlineStr">
        <is>
          <t>5.5 yr</t>
        </is>
      </c>
      <c r="D23" s="3" t="inlineStr">
        <is>
          <t>servers 'largest portion' (CFO)</t>
        </is>
      </c>
    </row>
    <row r="24">
      <c r="A24" t="inlineStr">
        <is>
          <t>FY26 capex guidance</t>
        </is>
      </c>
      <c r="B24" t="inlineStr"/>
      <c r="C24" t="inlineStr"/>
      <c r="D24" s="3" t="inlineStr">
        <is>
          <t>MSFT ~$190B, Alphabet $180-190B, Amazon ~$200B, Meta $125-145B, Oracle ~$50B; SpaceX ~$18B (est)</t>
        </is>
      </c>
    </row>
    <row r="26">
      <c r="A26" s="7" t="inlineStr">
        <is>
          <t>Cost-weighted reduction vs memory share</t>
        </is>
      </c>
      <c r="B26" t="inlineStr">
        <is>
          <t>reduction (x)</t>
        </is>
      </c>
      <c r="C26" t="inlineStr"/>
      <c r="D26" s="3" t="inlineStr">
        <is>
          <t>live: =1/(w/memfac+(1-w)/flopfac)</t>
        </is>
      </c>
    </row>
    <row r="27">
      <c r="A27" t="inlineStr">
        <is>
          <t>memory share = 45%</t>
        </is>
      </c>
      <c r="B27" s="33" t="n">
        <v>0.45</v>
      </c>
      <c r="C27" s="65">
        <f>1/(B27/Inputs!$B$2+(1-B27)/Inputs!$B$3)</f>
        <v/>
      </c>
      <c r="D27" t="inlineStr">
        <is>
          <t>memory term dominates -&gt; pinned near the 100x memory lever</t>
        </is>
      </c>
    </row>
    <row r="28">
      <c r="A28" t="inlineStr">
        <is>
          <t>memory share = 50%</t>
        </is>
      </c>
      <c r="B28" s="33" t="n">
        <v>0.5</v>
      </c>
      <c r="C28" s="65">
        <f>1/(B28/Inputs!$B$2+(1-B28)/Inputs!$B$3)</f>
        <v/>
      </c>
      <c r="D28" t="inlineStr">
        <is>
          <t>memory term dominates -&gt; pinned near the 100x memory lever</t>
        </is>
      </c>
    </row>
    <row r="29">
      <c r="A29" t="inlineStr">
        <is>
          <t>memory share = 60%</t>
        </is>
      </c>
      <c r="B29" s="33" t="n">
        <v>0.6</v>
      </c>
      <c r="C29" s="65">
        <f>1/(B29/Inputs!$B$2+(1-B29)/Inputs!$B$3)</f>
        <v/>
      </c>
      <c r="D29" t="inlineStr">
        <is>
          <t>memory term dominates -&gt; pinned near the 100x memory lever</t>
        </is>
      </c>
    </row>
    <row r="30">
      <c r="A30" t="inlineStr">
        <is>
          <t>memory share = 70%</t>
        </is>
      </c>
      <c r="B30" s="33" t="n">
        <v>0.7</v>
      </c>
      <c r="C30" s="65">
        <f>1/(B30/Inputs!$B$2+(1-B30)/Inputs!$B$3)</f>
        <v/>
      </c>
      <c r="D30" t="inlineStr">
        <is>
          <t>memory term dominates -&gt; pinned near the 100x memory lever</t>
        </is>
      </c>
    </row>
    <row r="31">
      <c r="A31" t="inlineStr">
        <is>
          <t>memory share = 82%</t>
        </is>
      </c>
      <c r="B31" s="33" t="n">
        <v>0.82</v>
      </c>
      <c r="C31" s="65">
        <f>1/(B31/Inputs!$B$2+(1-B31)/Inputs!$B$3)</f>
        <v/>
      </c>
      <c r="D31" t="inlineStr">
        <is>
          <t>memory term dominates -&gt; pinned near the 100x memory lever</t>
        </is>
      </c>
    </row>
  </sheetData>
  <pageMargins left="0.75" right="0.75" top="1" bottom="1" header="0.5" footer="0.5"/>
</worksheet>
</file>

<file path=xl/worksheets/sheet16.xml><?xml version="1.0" encoding="utf-8"?>
<worksheet xmlns="http://schemas.openxmlformats.org/spreadsheetml/2006/main">
  <sheetPr>
    <tabColor rgb="00A6A6A6"/>
    <outlinePr summaryBelow="1" summaryRight="1"/>
    <pageSetUpPr/>
  </sheetPr>
  <dimension ref="A1:A44"/>
  <sheetViews>
    <sheetView workbookViewId="0">
      <selection activeCell="A1" sqref="A1"/>
    </sheetView>
  </sheetViews>
  <sheetFormatPr baseColWidth="8" defaultRowHeight="15"/>
  <cols>
    <col width="120" customWidth="1" min="1" max="1"/>
  </cols>
  <sheetData>
    <row r="1">
      <c r="A1" s="20" t="inlineStr">
        <is>
          <t>METHODOLOGY &amp; SOURCES</t>
        </is>
      </c>
    </row>
    <row r="2">
      <c r="A2" s="3" t="inlineStr"/>
    </row>
    <row r="3">
      <c r="A3" s="3" t="inlineStr">
        <is>
          <t>Engine: GPU cost ~60% memory / ~40% compute. RE-BASED 2026-09-01: TODAY (default): memory x100 + FLOPs x793 (full-workload serving lever — decode 2.5 ms/token x 64 streams ESTIMATE, prefill at the banked x3.936 — x equal-quality ratio x4.22 at 1T) -&gt; ~x154 cost-weighted (Inputs B20). CEILING: FLOPs x816 (prefill at the full x7.03 maturity factor = x3.936 measured x x1.786 target) -&gt; ~x154.</t>
        </is>
      </c>
    </row>
    <row r="4">
      <c r="A4" s="3" t="inlineStr">
        <is>
          <t xml:space="preserve">  Floored by the least-reduced part — at these levers that is MEMORY (/100), so the two scenarios land within rounding of each other. The pre-campaign family (x9.24 -&gt; ~20x / x28.2 -&gt; ~50x) is RETIRED 2026-09-01: measured on kernels that no longer exist.</t>
        </is>
      </c>
    </row>
    <row r="5">
      <c r="A5" s="3" t="inlineStr"/>
    </row>
    <row r="6">
      <c r="A6" s="3" t="inlineStr">
        <is>
          <t>Per company (own tab): total capex (DISCLOSED) x infra share x server share x accelerator share = accelerator capex; then fleet -&gt; opex -&gt; efficient -&gt; value. FY25 + FY26.</t>
        </is>
      </c>
    </row>
    <row r="7">
      <c r="A7" s="3" t="inlineStr">
        <is>
          <t xml:space="preserve">  infra (data-center) share from 10-K/10-Q P&amp;E and segment notes (MSFT 97%, Alphabet 93-95%, Meta 95-98%, Amazon AWS 68-76%); server share CFO-disclosed (MSFT ~50%, Google 60%); accel-within-server ~67-80% from BOM.</t>
        </is>
      </c>
    </row>
    <row r="8">
      <c r="A8" s="3" t="inlineStr">
        <is>
          <t xml:space="preserve">  Accel % of total varies: Amazon ~30% (legacy fleet + non-AI), MSFT ~37%, Google ~40%, Meta ~48%, SpaceX ~79% (greenfield).</t>
        </is>
      </c>
    </row>
    <row r="9">
      <c r="A9" s="3" t="inlineStr">
        <is>
          <t>Totals (front page): rolls up the company tabs live; no double-count (they don't pay each other for the bulk). GLOBAL row grosses the named total up to a worldwide estimate (Inputs 'Named share of global AI capex').</t>
        </is>
      </c>
    </row>
    <row r="10">
      <c r="A10" s="3" t="inlineStr">
        <is>
          <t>Value: spend cut/yr = accel x (1 - 1/reduction) ~95% + opex savings; capitalized = annual / discount rate. Compute valued at ACTUAL cost.</t>
        </is>
      </c>
    </row>
    <row r="11">
      <c r="A11" s="3" t="inlineStr">
        <is>
          <t>Energy/opex reduction: DERIVED = cost-weighted reduction (energy splits memory/compute like cost). Inputs B5 defaults to =B20; overtype that cell to override.</t>
        </is>
      </c>
    </row>
    <row r="12">
      <c r="A12" s="3" t="inlineStr">
        <is>
          <t>HOW EACH INPUT IS DERIVED: Inputs sheet column D notes every global assumption; Evidence sheet has the BOM cost split (mem share), accelerator-share teardowns, own-silicon TCO and filing top-lines; per-company capex/shares/revenue carry a basis + clickable Sources on each company tab.</t>
        </is>
      </c>
    </row>
    <row r="13">
      <c r="A13" s="3" t="inlineStr">
        <is>
          <t>Net AI economics (Totals + company tabs): Net AI = AI revenue - AI capex (full AI-infra) - AI opex (cash basis). With our arch: Net AI + spend cut.</t>
        </is>
      </c>
    </row>
    <row r="14">
      <c r="A14" s="3" t="inlineStr">
        <is>
          <t xml:space="preserve">  Shows they all LOSE money on AI today. TOGGLE 'Datacenter scaling factor' (Inputs B13): 0 = accelerator-only (conservative); 1 = whole datacenter scales -&gt; net AI flips positive (~0.7 = breakeven).</t>
        </is>
      </c>
    </row>
    <row r="15">
      <c r="A15" s="3" t="inlineStr"/>
    </row>
    <row r="16">
      <c r="A16" s="20" t="inlineStr">
        <is>
          <t>KEY RESULTS (defaults)</t>
        </is>
      </c>
    </row>
    <row r="17">
      <c r="A17" s="3" t="inlineStr">
        <is>
          <t>- Cost-weighted reduction ~x154 TODAY and ~x154 at the CEILING — memory-floored at /100; the levers differ ~3% but the reduction ~0.3%.</t>
        </is>
      </c>
    </row>
    <row r="18">
      <c r="A18" s="3" t="inlineStr">
        <is>
          <t>- Net AI FY25: 6 named firms spend ~$362B (capex+opex) vs ~$79B AI revenue = ~ -$283B/yr cash burn.</t>
        </is>
      </c>
    </row>
    <row r="19">
      <c r="A19" s="3" t="inlineStr">
        <is>
          <t>- With our architecture: spend cut ~$161B -&gt; burn shrinks to ~ -$122B/yr (~44% of AI spend cut).</t>
        </is>
      </c>
    </row>
    <row r="20">
      <c r="A20" s="3" t="inlineStr">
        <is>
          <t>- Spend-cut value (named floor, 6% discount rate): FY25 ~$161B/yr (~$2.7T capitalized); FY26 r/r ~$380B/yr (~$6.3T). Ceiling: within rounding of Today (the cut saturates).</t>
        </is>
      </c>
    </row>
    <row r="21">
      <c r="A21" s="3" t="inlineStr">
        <is>
          <t>- GLOBAL estimate (named ~80% of world AI capex): FY25 ~$3.3T, FY26 ~$7.9T capitalized. Clearly an estimate.</t>
        </is>
      </c>
    </row>
    <row r="22">
      <c r="A22" s="3" t="inlineStr"/>
    </row>
    <row r="23">
      <c r="A23" s="20" t="inlineStr">
        <is>
          <t>CAVEATS</t>
        </is>
      </c>
    </row>
    <row r="24">
      <c r="A24" s="3" t="inlineStr">
        <is>
          <t>- AI REVENUE is the softest input: MSFT $37B &amp; Amazon $15B run-rates are DISCLOSED; Google/Meta/Oracle/SpaceX are ESTIMATES. Meta's real AI payoff is indirect ad-uplift (~$20B), not direct revenue -- so its 'loss' here overstates.</t>
        </is>
      </c>
    </row>
    <row r="25">
      <c r="A25" s="3" t="inlineStr">
        <is>
          <t>- Net AI is CASH basis (capex not depreciated). On an accounting (depreciation) basis the loss is smaller; on a depreciation basis it is closer to a true P&amp;L.</t>
        </is>
      </c>
    </row>
    <row r="26">
      <c r="A26" s="3" t="inlineStr">
        <is>
          <t>- No company reports 'accelerator capex'. Totals DISCLOSED; server/accel split ESTIMATED (server CFO-disclosed; accel-within from BOM). +/-15-20%.</t>
        </is>
      </c>
    </row>
    <row r="27">
      <c r="A27" s="3" t="inlineStr">
        <is>
          <t>- FY26 is a full live chain (FY26 total-capex guidance x FY26 shares). SpaceX FY26 ~$18B is an estimate.</t>
        </is>
      </c>
    </row>
    <row r="28">
      <c r="A28" s="3" t="inlineStr">
        <is>
          <t>- Hyperscaler market caps (company tab row 7) are approximate placeholders -- edit to current.</t>
        </is>
      </c>
    </row>
    <row r="29">
      <c r="A29" s="3" t="inlineStr">
        <is>
          <t>- Own-silicon (TPU/Trainium/MTIA) is cheaper per FLOP, but compute is valued at ACTUAL cost; CostLadder shows the buy/rent premium.</t>
        </is>
      </c>
    </row>
    <row r="30">
      <c r="A30" s="3" t="inlineStr">
        <is>
          <t>- Multiplying the levers (100x * ~793x ~ 79,000x) is NOT physical: cost is additive (Amdahl), not multiplicative.</t>
        </is>
      </c>
    </row>
    <row r="31">
      <c r="A31" s="3" t="inlineStr">
        <is>
          <t>- JEVONS: savings reinvested into more AI, not budget cuts. Capitalization is a simple perpetuity.</t>
        </is>
      </c>
    </row>
    <row r="32">
      <c r="A32" s="3" t="inlineStr"/>
    </row>
    <row r="33">
      <c r="A33" s="20" t="inlineStr">
        <is>
          <t>SOURCES</t>
        </is>
      </c>
    </row>
    <row r="34">
      <c r="A34" s="3" t="inlineStr">
        <is>
          <t>SpaceX S-1 / IPO: https://www.hl.co.uk/news/inside-spacexs-ipo-filing-revenue-starlink-ai-and-key-financials</t>
        </is>
      </c>
    </row>
    <row r="35">
      <c r="A35" s="3" t="inlineStr">
        <is>
          <t>Microsoft FY25 capex (Q3 FY26 call): https://www.fool.com/earnings/call-transcripts/2026/04/29/microsoft-msft-q3-2026-earnings-transcript/</t>
        </is>
      </c>
    </row>
    <row r="36">
      <c r="A36" s="3" t="inlineStr">
        <is>
          <t>Alphabet FY25 $91.4B, 60/40 split (Q4'25 call): https://www.fool.com/earnings/call-transcripts/2026/02/04/alphabet-googl-q4-2025-earnings-call-transcript/</t>
        </is>
      </c>
    </row>
    <row r="37">
      <c r="A37" s="3" t="inlineStr">
        <is>
          <t>Amazon FY25 $128.3B + server life 6-&gt;5yr (10-K): https://www.sec.gov/Archives/edgar/data/1018724/000101872426000004/amzn-20251231.htm</t>
        </is>
      </c>
    </row>
    <row r="38">
      <c r="A38" s="3" t="inlineStr">
        <is>
          <t>Meta FY25 $72.2B (Q4/FY25 release): https://investor.atmeta.com/investor-news/press-release-details/2026/Meta-Reports-Fourth-Quarter-and-Full-Year-2025-Results/default.aspx</t>
        </is>
      </c>
    </row>
    <row r="39">
      <c r="A39" s="3" t="inlineStr">
        <is>
          <t>H100/B200 BOM + margin (Silicon Analysts): https://siliconanalysts.com/analysis/nvidia-b200-blackwell-cost-breakdown</t>
        </is>
      </c>
    </row>
    <row r="40">
      <c r="A40" s="3" t="inlineStr">
        <is>
          <t>TPU/Trainium TCO (SemiAnalysis): https://newsletter.semianalysis.com/p/tpuv7-google-takes-a-swing-at-the</t>
        </is>
      </c>
    </row>
    <row r="41">
      <c r="A41" s="3" t="inlineStr">
        <is>
          <t>GPU rental prices 2026 (Spheron): https://www.spheron.network/blog/gpu-cloud-pricing-comparison-2026/</t>
        </is>
      </c>
    </row>
    <row r="42">
      <c r="A42" s="3" t="inlineStr">
        <is>
          <t>Microsoft $37B AI run-rate (Q3 FY26): https://news.alphastreet.com/microsoft-msft-q3-fy2026-azure-hits-40-growth-as-ai-business-reaches-37-billion-run-rate/</t>
        </is>
      </c>
    </row>
    <row r="43">
      <c r="A43" s="3" t="inlineStr">
        <is>
          <t>Amazon &gt;$15B AWS AI run-rate (Q1 FY26): https://www.bnnbloomberg.ca/business/artificial-intelligence/2026/04/09/amazon-cloud-units-ai-revenue-run-rate-exceeds-us15-billion-in-first-quarter-ceo-says/</t>
        </is>
      </c>
    </row>
    <row r="44">
      <c r="A44" s="3" t="inlineStr">
        <is>
          <t>Hyperscalers losing money on AI (capex vs revenue): https://fortune.com/2026/04/15/data-centers-hyperscalers-spending-billions-on-hardware-thats-worthless-in-3-years/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2026-09-29T02:18:54Z</dcterms:created>
  <dcterms:modified xsi:type="dcterms:W3CDTF">2026-09-29T02:18:54Z</dcterms:modified>
</cp:coreProperties>
</file>