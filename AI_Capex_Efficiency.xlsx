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6">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5">
      <c r="A15" s="1" t="inlineStr">
        <is>
          <t>SAVINGS BREAKDOWN — the spend cut, split</t>
        </is>
      </c>
      <c r="B15" s="2" t="n"/>
      <c r="C15" s="2" t="n"/>
      <c r="D15" s="2" t="n"/>
      <c r="E15" s="2" t="n"/>
      <c r="F15" s="2" t="n"/>
      <c r="G15" s="2" t="n"/>
      <c r="H15" s="2" t="n"/>
    </row>
    <row r="16">
      <c r="A16" t="inlineStr">
        <is>
          <t>Cost-weighted reduction (Amdahl)</t>
        </is>
      </c>
      <c r="B16" s="12">
        <f>Inputs!$B$20</f>
        <v/>
      </c>
      <c r="C16" t="inlineStr">
        <is>
          <t>x</t>
        </is>
      </c>
    </row>
    <row r="18">
      <c r="B18" s="8" t="inlineStr">
        <is>
          <t>Saved OPEX</t>
        </is>
      </c>
      <c r="C18" s="4" t="inlineStr">
        <is>
          <t>Avoided CAPEX (Overspend)</t>
        </is>
      </c>
      <c r="D18" s="8" t="inlineStr">
        <is>
          <t>Total</t>
        </is>
      </c>
    </row>
    <row r="19">
      <c r="A19" t="inlineStr">
        <is>
          <t>FY2025 annual ($B/yr)</t>
        </is>
      </c>
      <c r="B19" s="5">
        <f>SUM(Microsoft!B26,Alphabet!B26,Amazon!B26,Meta!B26,Oracle!B26,SpaceX!B26)/1000</f>
        <v/>
      </c>
      <c r="C19" s="5">
        <f>SUM(Microsoft!B25,Alphabet!B25,Amazon!B25,Meta!B25,Oracle!B25,SpaceX!B25)</f>
        <v/>
      </c>
      <c r="D19" s="5">
        <f>B19+C19</f>
        <v/>
      </c>
    </row>
    <row r="20">
      <c r="A20" s="8" t="inlineStr">
        <is>
          <t>FY2025 capitalized ($B)</t>
        </is>
      </c>
      <c r="B20" s="13">
        <f>B19/Inputs!$B$6</f>
        <v/>
      </c>
      <c r="C20" s="13">
        <f>C19/Inputs!$B$6</f>
        <v/>
      </c>
      <c r="D20" s="13">
        <f>B20+C20</f>
        <v/>
      </c>
    </row>
    <row r="21">
      <c r="A21" t="inlineStr">
        <is>
          <t>FY2026 annual ($B/yr)</t>
        </is>
      </c>
      <c r="B21" s="5">
        <f>SUM(Microsoft!C26,Alphabet!C26,Amazon!C26,Meta!C26,Oracle!C26,SpaceX!C26)/1000</f>
        <v/>
      </c>
      <c r="C21" s="5">
        <f>SUM(Microsoft!C25,Alphabet!C25,Amazon!C25,Meta!C25,Oracle!C25,SpaceX!C25)</f>
        <v/>
      </c>
      <c r="D21" s="5">
        <f>B21+C21</f>
        <v/>
      </c>
    </row>
    <row r="22">
      <c r="A22" s="8" t="inlineStr">
        <is>
          <t>FY2026 capitalized ($B)</t>
        </is>
      </c>
      <c r="B22" s="13">
        <f>B21/Inputs!$B$6</f>
        <v/>
      </c>
      <c r="C22" s="13">
        <f>C21/Inputs!$B$6</f>
        <v/>
      </c>
      <c r="D22" s="13">
        <f>B22+C22</f>
        <v/>
      </c>
    </row>
    <row r="23">
      <c r="A23" s="8" t="inlineStr">
        <is>
          <t>GLOBAL capitalized -- est. ($B)</t>
        </is>
      </c>
      <c r="B23" s="13">
        <f>D20/Inputs!$B$14</f>
        <v/>
      </c>
      <c r="C23" s="13">
        <f>D22/Inputs!$B$14</f>
        <v/>
      </c>
      <c r="D23" s="3" t="inlineStr">
        <is>
          <t>named-floor capitalized / named-share-of-global (Inputs B14). ESTIMATE: grosses up for other clouds, China, neoclouds, xAI, sovereign.</t>
        </is>
      </c>
    </row>
    <row r="24">
      <c r="A24" t="inlineStr">
        <is>
          <t>% reduction</t>
        </is>
      </c>
      <c r="B24" s="7">
        <f>1-1/Inputs!$B$5</f>
        <v/>
      </c>
      <c r="C24" s="7">
        <f>1-1/Inputs!$B$20</f>
        <v/>
      </c>
    </row>
    <row r="25">
      <c r="A25"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c r="A27" s="1" t="inlineStr">
        <is>
          <t>TABS</t>
        </is>
      </c>
      <c r="B27" s="2" t="n"/>
      <c r="C27" s="2" t="n"/>
      <c r="D27" s="2" t="n"/>
      <c r="E27" s="2" t="n"/>
      <c r="F27" s="2" t="n"/>
      <c r="G27" s="2" t="n"/>
      <c r="H27" s="2" t="n"/>
    </row>
    <row r="28">
      <c r="A28" s="8" t="inlineStr">
        <is>
          <t>Microsoft / Alphabet / Amazon / Meta / Oracle / SpaceX</t>
        </is>
      </c>
      <c r="B28" s="3" t="inlineStr">
        <is>
          <t>one tab each: full build capex -&gt; infra -&gt; servers -&gt; accelerator -&gt; fleet/opex -&gt; value</t>
        </is>
      </c>
    </row>
    <row r="29">
      <c r="A29" s="8" t="inlineStr">
        <is>
          <t>Inputs</t>
        </is>
      </c>
      <c r="B29" s="3" t="inlineStr">
        <is>
          <t>global assumptions + the reduction engine (cost-weighted factor)</t>
        </is>
      </c>
    </row>
    <row r="30">
      <c r="A30" s="8" t="inlineStr">
        <is>
          <t>Sensitivity</t>
        </is>
      </c>
      <c r="B30" s="3" t="inlineStr">
        <is>
          <t>SpaceX value across reduction tiers (10x/30x/100x/cost-weighted)</t>
        </is>
      </c>
    </row>
    <row r="31">
      <c r="A31" s="8" t="inlineStr">
        <is>
          <t>CostLadder</t>
        </is>
      </c>
      <c r="B31" s="3" t="inlineStr">
        <is>
          <t>own-silicon vs buy-NVIDIA vs rent $/GPU-hr</t>
        </is>
      </c>
    </row>
    <row r="32">
      <c r="A32" s="8" t="inlineStr">
        <is>
          <t>Evidence</t>
        </is>
      </c>
      <c r="B32" s="3" t="inlineStr">
        <is>
          <t>BOM cost split, accelerator-share data, own-silicon TCO, filing top-lines</t>
        </is>
      </c>
    </row>
    <row r="33">
      <c r="A33" s="8" t="inlineStr">
        <is>
          <t>Methodology</t>
        </is>
      </c>
      <c r="B33" s="3" t="inlineStr">
        <is>
          <t>step-by-step logic, caveats, sources</t>
        </is>
      </c>
    </row>
    <row r="35">
      <c r="A35" s="8" t="inlineStr">
        <is>
          <t>Legend: yellow = assumption / lever (each maps to a slider in the Streamlit app)  ·  green = disclosed filing or market data  ·  blue = derived formula.</t>
        </is>
      </c>
    </row>
  </sheetData>
  <mergeCells count="9">
    <mergeCell ref="B32:H32"/>
    <mergeCell ref="A35:H35"/>
    <mergeCell ref="A25:H25"/>
    <mergeCell ref="A2:H2"/>
    <mergeCell ref="B31:H31"/>
    <mergeCell ref="B30:H30"/>
    <mergeCell ref="B29:H29"/>
    <mergeCell ref="B33:H33"/>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88</v>
      </c>
      <c r="C3" s="1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6" t="n">
        <v>1</v>
      </c>
      <c r="C4" s="16" t="n">
        <v>1</v>
      </c>
      <c r="D4" s="3" t="inlineStr">
        <is>
          <t>strips non-AI (Amazon = AWS only)</t>
        </is>
      </c>
    </row>
    <row r="5">
      <c r="A5" t="inlineStr">
        <is>
          <t>Server / short-lived share</t>
        </is>
      </c>
      <c r="B5" s="16" t="n">
        <v>0.5</v>
      </c>
      <c r="C5" s="16" t="n">
        <v>0.67</v>
      </c>
      <c r="D5" s="3" t="inlineStr">
        <is>
          <t>CFO-disclosed (MSFT rose 50%-&gt;67%)</t>
        </is>
      </c>
    </row>
    <row r="6">
      <c r="A6" t="inlineStr">
        <is>
          <t>Accelerator share within servers</t>
        </is>
      </c>
      <c r="B6" s="16" t="n">
        <v>0.75</v>
      </c>
      <c r="C6" s="16" t="n">
        <v>0.75</v>
      </c>
      <c r="D6" s="3" t="inlineStr">
        <is>
          <t>from BOM teardowns (~67-80%)</t>
        </is>
      </c>
    </row>
    <row r="7">
      <c r="A7" t="inlineStr">
        <is>
          <t>Market cap ($B, approx)</t>
        </is>
      </c>
      <c r="B7" s="17"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30</v>
      </c>
      <c r="C32" s="15"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2" t="inlineStr">
        <is>
          <t>https://www.sec.gov/Archives/edgar/data/789019/000095017025100235/msft-20250630.htm</t>
        </is>
      </c>
    </row>
    <row r="42">
      <c r="A42" s="3" t="inlineStr">
        <is>
          <t>FY26 ~$190B guide; 'two-thirds' short-lived = GPUs+CPUs (Q3 FY26 call)</t>
        </is>
      </c>
      <c r="B42" s="22" t="inlineStr">
        <is>
          <t>https://www.fool.com/earnings/call-transcripts/2026/04/29/microsoft-msft-q3-2026-earnings-transcript/</t>
        </is>
      </c>
    </row>
    <row r="43">
      <c r="A43" s="3" t="inlineStr">
        <is>
          <t>AI revenue $37B annual run-rate (Q3 FY26)</t>
        </is>
      </c>
      <c r="B43" s="22" t="inlineStr">
        <is>
          <t>https://news.alphastreet.com/microsoft-msft-q3-fy2026-azure-hits-40-growth-as-ai-business-reaches-37-billion-run-rate/</t>
        </is>
      </c>
    </row>
    <row r="44">
      <c r="A44" s="3" t="inlineStr">
        <is>
          <t>~485k Hopper GPUs / ~$31B in 2024 (Omdia) - cross-checks accel capex</t>
        </is>
      </c>
      <c r="B44" s="22"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91.40000000000001</v>
      </c>
      <c r="C3" s="15" t="n">
        <v>185</v>
      </c>
      <c r="D3" s="3" t="inlineStr">
        <is>
          <t>FY25 capex $91.4B [DISCLOSED]; FY26 $180-190B guide. 60% servers / 40% DC (CFO). Accel ~67% [BOM]. AI rev ESTIMATE (Cloud $70B run-rate, AI subset).</t>
        </is>
      </c>
    </row>
    <row r="4">
      <c r="A4" t="inlineStr">
        <is>
          <t>Infra / data-center share</t>
        </is>
      </c>
      <c r="B4" s="16" t="n">
        <v>1</v>
      </c>
      <c r="C4" s="16" t="n">
        <v>1</v>
      </c>
      <c r="D4" s="3" t="inlineStr">
        <is>
          <t>strips non-AI (Amazon = AWS only)</t>
        </is>
      </c>
    </row>
    <row r="5">
      <c r="A5" t="inlineStr">
        <is>
          <t>Server / short-lived share</t>
        </is>
      </c>
      <c r="B5" s="16" t="n">
        <v>0.6</v>
      </c>
      <c r="C5" s="16" t="n">
        <v>0.6</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25</v>
      </c>
      <c r="C32" s="15"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2" t="inlineStr">
        <is>
          <t>https://www.fool.com/earnings/call-transcripts/2026/02/04/alphabet-googl-q4-2025-earnings-call-transcript/</t>
        </is>
      </c>
    </row>
    <row r="42">
      <c r="A42" s="3" t="inlineStr">
        <is>
          <t>FY26 guide $180-190B (Q1'26)</t>
        </is>
      </c>
      <c r="B42" s="22" t="inlineStr">
        <is>
          <t>https://www.cnbc.com/2026/04/29/alphabet-googl-q1-2026-earnings.html</t>
        </is>
      </c>
    </row>
    <row r="43">
      <c r="A43" s="3" t="inlineStr">
        <is>
          <t>Server life 6yr; TPU at-cost TCO 20-50% below NVIDIA (SemiAnalysis)</t>
        </is>
      </c>
      <c r="B43" s="22"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128.3</v>
      </c>
      <c r="C3" s="15" t="n">
        <v>220</v>
      </c>
      <c r="D3" s="3" t="inlineStr">
        <is>
          <t>FY25 cash capex $128.3B [DISCLOSED]; FY26 raised to ~$220B (Q2'26, 2026-07-30). AWS ~68-70% -&gt; strips fulfillment. Accel ~67% [BOM]. AI rev &gt;$15B AWS run-rate (Q1 FY26, Jassy).</t>
        </is>
      </c>
    </row>
    <row r="4">
      <c r="A4" t="inlineStr">
        <is>
          <t>Infra / data-center share</t>
        </is>
      </c>
      <c r="B4" s="16" t="n">
        <v>0.68</v>
      </c>
      <c r="C4" s="16" t="n">
        <v>0.7</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12</v>
      </c>
      <c r="C32" s="15"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2" t="inlineStr">
        <is>
          <t>https://www.sec.gov/Archives/edgar/data/1018724/000101872426000004/amzn-20251231.htm</t>
        </is>
      </c>
    </row>
    <row r="42">
      <c r="A42" s="3" t="inlineStr">
        <is>
          <t>~$200B 2026 capex, 'predominantly AWS' (Q4'25 call)</t>
        </is>
      </c>
      <c r="B42" s="22" t="inlineStr">
        <is>
          <t>https://www.fool.com/earnings/call-transcripts/2026/02/05/amazon-amzn-q4-2025-earnings-call-transcript/</t>
        </is>
      </c>
    </row>
    <row r="43">
      <c r="A43" s="3" t="inlineStr">
        <is>
          <t>AWS AI revenue &gt;$15B annual run-rate (Q1'26, Jassy)</t>
        </is>
      </c>
      <c r="B43" s="22"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72.2</v>
      </c>
      <c r="C3" s="15" t="n">
        <v>137.5</v>
      </c>
      <c r="D3" s="3" t="inlineStr">
        <is>
          <t>FY25 capex incl leases $72.2B [DISCLOSED]; FY26 $130-145B guide (mid 137.5). Accel ~74% [BOM]. AI rev DIRECT est ~$4B -- Meta's real AI payoff is INDIRECT ad-uplift (~$20B), not counted.</t>
        </is>
      </c>
    </row>
    <row r="4">
      <c r="A4" t="inlineStr">
        <is>
          <t>Infra / data-center share</t>
        </is>
      </c>
      <c r="B4" s="16" t="n">
        <v>1</v>
      </c>
      <c r="C4" s="16" t="n">
        <v>1</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0.74</v>
      </c>
      <c r="C6" s="16" t="n">
        <v>0.74</v>
      </c>
      <c r="D6" s="3" t="inlineStr">
        <is>
          <t>from BOM teardowns (~67-80%)</t>
        </is>
      </c>
    </row>
    <row r="7">
      <c r="A7" t="inlineStr">
        <is>
          <t>Market cap ($B, approx)</t>
        </is>
      </c>
      <c r="B7" s="17"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4</v>
      </c>
      <c r="C32" s="15"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2" t="inlineStr">
        <is>
          <t>https://investor.atmeta.com/investor-news/press-release-details/2026/Meta-Reports-Fourth-Quarter-and-Full-Year-2025-Results/default.aspx</t>
        </is>
      </c>
    </row>
    <row r="42">
      <c r="A42" s="3" t="inlineStr">
        <is>
          <t>FY26 $125-145B guide; raise driven by HBM pricing (Q1'26 call)</t>
        </is>
      </c>
      <c r="B42" s="22" t="inlineStr">
        <is>
          <t>https://www.fool.com/earnings/call-transcripts/2026/04/29/meta-meta-q1-2026-earnings-call-transcript/</t>
        </is>
      </c>
    </row>
    <row r="43">
      <c r="A43" s="3" t="inlineStr">
        <is>
          <t>&gt;1.3M GPUs by end-2025 (Zuckerberg) - cross-checks accel capex</t>
        </is>
      </c>
      <c r="B43" s="22" t="inlineStr">
        <is>
          <t>https://techcrunch.com/2025/01/24/mark-zuckerberg-says-meta-will-have-1-3m-gpus-for-ai-by-year-end/</t>
        </is>
      </c>
    </row>
    <row r="44">
      <c r="A44" s="3" t="inlineStr">
        <is>
          <t>Server life 5.5yr (-$2.9B depreciation)</t>
        </is>
      </c>
      <c r="B44" s="22" t="inlineStr">
        <is>
          <t>https://www.thestack.technology/meta-extends-server-life-again-saving-it-2-9-billion/</t>
        </is>
      </c>
    </row>
    <row r="45">
      <c r="A45" s="3" t="inlineStr">
        <is>
          <t>~25% of capex to NVIDIA (Bloomberg) - accel-share basis</t>
        </is>
      </c>
      <c r="B45" s="22"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21.2</v>
      </c>
      <c r="C3" s="15"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6" t="n">
        <v>0.85</v>
      </c>
      <c r="C4" s="16" t="n">
        <v>0.9</v>
      </c>
      <c r="D4" s="3" t="inlineStr">
        <is>
          <t>strips non-AI (Amazon = AWS only)</t>
        </is>
      </c>
    </row>
    <row r="5">
      <c r="A5" t="inlineStr">
        <is>
          <t>Server / short-lived share</t>
        </is>
      </c>
      <c r="B5" s="16" t="n">
        <v>0.75</v>
      </c>
      <c r="C5" s="16" t="n">
        <v>0.75</v>
      </c>
      <c r="D5" s="3" t="inlineStr">
        <is>
          <t>CFO-disclosed (MSFT rose 50%-&gt;67%)</t>
        </is>
      </c>
    </row>
    <row r="6">
      <c r="A6" t="inlineStr">
        <is>
          <t>Accelerator share within servers</t>
        </is>
      </c>
      <c r="B6" s="16" t="n">
        <v>0.7</v>
      </c>
      <c r="C6" s="16" t="n">
        <v>0.7</v>
      </c>
      <c r="D6" s="3" t="inlineStr">
        <is>
          <t>from BOM teardowns (~67-80%)</t>
        </is>
      </c>
    </row>
    <row r="7">
      <c r="A7" t="inlineStr">
        <is>
          <t>Market cap ($B, approx)</t>
        </is>
      </c>
      <c r="B7" s="17"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8</v>
      </c>
      <c r="C32" s="15"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2" t="inlineStr">
        <is>
          <t>https://www.ciodive.com/news/oracle-capex-spike-cloud-ai-data-center/807721/</t>
        </is>
      </c>
    </row>
    <row r="42">
      <c r="A42" s="3" t="inlineStr">
        <is>
          <t>OCI run-rate ~$27B exiting FY25; IaaS $3.0B Q4 +52%; RPO $138B (Q4 FY25)</t>
        </is>
      </c>
      <c r="B42" s="22" t="inlineStr">
        <is>
          <t>https://futurumgroup.com/insights/oracle-delivers-q4-fy-2025-results-with-27-cloud-growth-rpo-hits-138-billion/</t>
        </is>
      </c>
    </row>
    <row r="43">
      <c r="A43" s="3" t="inlineStr">
        <is>
          <t>FY26 OCI +77% to ~$18B; RPO $523B +433% on AI deals (Q2 FY26)</t>
        </is>
      </c>
      <c r="B43" s="22"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12.7</v>
      </c>
      <c r="C3" s="1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6" t="n">
        <v>1</v>
      </c>
      <c r="C4" s="16" t="n">
        <v>1</v>
      </c>
      <c r="D4" s="3" t="inlineStr">
        <is>
          <t>strips non-AI (Amazon = AWS only)</t>
        </is>
      </c>
    </row>
    <row r="5">
      <c r="A5" t="inlineStr">
        <is>
          <t>Server / short-lived share</t>
        </is>
      </c>
      <c r="B5" s="16" t="n">
        <v>0.79</v>
      </c>
      <c r="C5" s="16" t="n">
        <v>0.79</v>
      </c>
      <c r="D5" s="3" t="inlineStr">
        <is>
          <t>CFO-disclosed (MSFT rose 50%-&gt;67%)</t>
        </is>
      </c>
    </row>
    <row r="6">
      <c r="A6" t="inlineStr">
        <is>
          <t>Accelerator share within servers</t>
        </is>
      </c>
      <c r="B6" s="16" t="n">
        <v>1</v>
      </c>
      <c r="C6" s="16" t="n">
        <v>1</v>
      </c>
      <c r="D6" s="3" t="inlineStr">
        <is>
          <t>from BOM teardowns (~67-80%)</t>
        </is>
      </c>
    </row>
    <row r="7">
      <c r="A7" t="inlineStr">
        <is>
          <t>Market cap ($B, approx)</t>
        </is>
      </c>
      <c r="B7" s="17"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0.3</v>
      </c>
      <c r="C32" s="15"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2" t="inlineStr">
        <is>
          <t>https://www.sec.gov/Archives/edgar/data/1181412/000162828026036936/spaceexplorationtechnologi.htm</t>
        </is>
      </c>
    </row>
    <row r="42">
      <c r="A42" s="3" t="inlineStr">
        <is>
          <t>S-1 financials &amp; AI breakdown (Hargreaves Lansdown)</t>
        </is>
      </c>
      <c r="B42" s="22" t="inlineStr">
        <is>
          <t>https://www.hl.co.uk/news/inside-spacexs-ipo-filing-revenue-starlink-ai-and-key-financials</t>
        </is>
      </c>
    </row>
    <row r="43">
      <c r="A43" s="3" t="inlineStr">
        <is>
          <t>$12.7B AI capex = ~60% of capex; COLOSSUS buildout (Investing.com)</t>
        </is>
      </c>
      <c r="B43" s="22" t="inlineStr">
        <is>
          <t>https://www.investing.com/analysis/spacex-is-quietly-becoming-an-ai-compute-and-orbital-infrastructure-company-200681776</t>
        </is>
      </c>
    </row>
    <row r="44">
      <c r="A44" s="3" t="inlineStr">
        <is>
          <t>AI1 orbital data centers; Anthropic as compute customer (DCD)</t>
        </is>
      </c>
      <c r="B44" s="22"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3" t="n">
        <v>100</v>
      </c>
      <c r="C2" t="inlineStr">
        <is>
          <t>x</t>
        </is>
      </c>
      <c r="D2" s="3" t="inlineStr">
        <is>
          <t>1e-2 memory = 100x less (RNN O(1) state vs transformer O(T) KV cache).</t>
        </is>
      </c>
    </row>
    <row r="3">
      <c r="A3" t="inlineStr">
        <is>
          <t>FLOPs reduction factor</t>
        </is>
      </c>
      <c r="B3" s="23">
        <f>$B$24</f>
        <v/>
      </c>
      <c r="C3" t="inlineStr">
        <is>
          <t>x</t>
        </is>
      </c>
      <c r="D3" s="3" t="inlineStr">
        <is>
          <t>TODAY scenario (default) = x9.24: the measured workload blend x2.19 (10:1 input:output, 64k context; prefill x1.17, decode x2.20 on the memory ceiling; training excluded) x the fit-derived equal-quality parameter ratio x4.22 at 1T (rows 23-25 below). Overtype with =B25 for the CEILING scenario (x28.2 = measured prefill x4.02 x 7.03 campaign speedup), or any number. See ServingTraining for the blend.</t>
        </is>
      </c>
    </row>
    <row r="4">
      <c r="A4" t="inlineStr">
        <is>
          <t>Memory share of GPU cost (BOM)</t>
        </is>
      </c>
      <c r="B4" s="24" t="n">
        <v>0.6</v>
      </c>
      <c r="C4" t="inlineStr">
        <is>
          <t>frac</t>
        </is>
      </c>
      <c r="D4" s="3" t="inlineStr">
        <is>
          <t>HBM ~45% of B200 COGS + most CoWoS packaging -&gt; ~60% memory / ~40% compute. See Evidence.</t>
        </is>
      </c>
    </row>
    <row r="5">
      <c r="A5" t="inlineStr">
        <is>
          <t>Opex / energy reduction factor</t>
        </is>
      </c>
      <c r="B5" s="23">
        <f>B20</f>
        <v/>
      </c>
      <c r="C5" t="inlineStr">
        <is>
          <t>x</t>
        </is>
      </c>
      <c r="D5" s="3" t="inlineStr">
        <is>
          <t>DERIVED default = cost-weighted reduction (B20): energy splits memory/compute like cost. Overtype this cell to override.</t>
        </is>
      </c>
    </row>
    <row r="6">
      <c r="A6" t="inlineStr">
        <is>
          <t>Discount rate</t>
        </is>
      </c>
      <c r="B6" s="24" t="n">
        <v>0.06</v>
      </c>
      <c r="C6" t="inlineStr">
        <is>
          <t>frac</t>
        </is>
      </c>
      <c r="D6" s="3" t="inlineStr">
        <is>
          <t>Perpetuity capitalization: value = annual benefit / rate (=16.7x at 6%).</t>
        </is>
      </c>
    </row>
    <row r="7">
      <c r="A7" t="inlineStr">
        <is>
          <t>Fully-loaded cost per GPU</t>
        </is>
      </c>
      <c r="B7" s="25" t="n">
        <v>50000</v>
      </c>
      <c r="C7" t="inlineStr">
        <is>
          <t>$</t>
        </is>
      </c>
      <c r="D7" s="3" t="inlineStr">
        <is>
          <t>B200-class GPU + share of server, NVLink, networking.</t>
        </is>
      </c>
    </row>
    <row r="8">
      <c r="A8" t="inlineStr">
        <is>
          <t>Wall power per GPU</t>
        </is>
      </c>
      <c r="B8" s="23" t="n">
        <v>1.8</v>
      </c>
      <c r="C8" t="inlineStr">
        <is>
          <t>kW</t>
        </is>
      </c>
      <c r="D8" s="3" t="inlineStr">
        <is>
          <t>~1 kW TDP + node overhead x PUE 1.3.</t>
        </is>
      </c>
    </row>
    <row r="9">
      <c r="A9" t="inlineStr">
        <is>
          <t>Electricity rate</t>
        </is>
      </c>
      <c r="B9" s="23" t="n">
        <v>0.08</v>
      </c>
      <c r="C9" t="inlineStr">
        <is>
          <t>$/kWh</t>
        </is>
      </c>
      <c r="D9" s="3" t="inlineStr">
        <is>
          <t>Datacenter wholesale; raise to 0.10-0.12 for grid colo.</t>
        </is>
      </c>
    </row>
    <row r="10">
      <c r="A10" t="inlineStr">
        <is>
          <t>Cooling/ops overhead on energy</t>
        </is>
      </c>
      <c r="B10" s="24" t="n">
        <v>0.25</v>
      </c>
      <c r="C10" t="inlineStr">
        <is>
          <t>frac</t>
        </is>
      </c>
      <c r="D10" s="3" t="inlineStr">
        <is>
          <t>Non-power running cost as fraction of electricity.</t>
        </is>
      </c>
    </row>
    <row r="11">
      <c r="A11" t="inlineStr">
        <is>
          <t>Fleet useful life</t>
        </is>
      </c>
      <c r="B11" s="23" t="n">
        <v>4</v>
      </c>
      <c r="C11" t="inlineStr">
        <is>
          <t>yr</t>
        </is>
      </c>
      <c r="D11" s="3" t="inlineStr">
        <is>
          <t>AI-GPU depreciation life.</t>
        </is>
      </c>
    </row>
    <row r="12">
      <c r="A12" t="inlineStr">
        <is>
          <t>SpaceX market cap</t>
        </is>
      </c>
      <c r="B12" s="26" t="n">
        <v>1950</v>
      </c>
      <c r="C12" t="inlineStr">
        <is>
          <t>$B</t>
        </is>
      </c>
      <c r="D12" s="3" t="inlineStr">
        <is>
          <t>~$1.84T Aug 2026; IPO 2026-06-12 at ~$1.77T (market data; used by Sensitivity).</t>
        </is>
      </c>
    </row>
    <row r="13">
      <c r="A13" t="inlineStr">
        <is>
          <t>Datacenter scaling factor</t>
        </is>
      </c>
      <c r="B13" s="24"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4"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1">
        <f>1-B4</f>
        <v/>
      </c>
      <c r="D16" s="3" t="inlineStr">
        <is>
          <t>1 - memory share</t>
        </is>
      </c>
    </row>
    <row r="17">
      <c r="A17" t="inlineStr">
        <is>
          <t>Memory cost fraction after reduction</t>
        </is>
      </c>
      <c r="B17" s="27">
        <f>B4/B2</f>
        <v/>
      </c>
      <c r="D17" s="3" t="inlineStr">
        <is>
          <t>memory share / memory reduction</t>
        </is>
      </c>
    </row>
    <row r="18">
      <c r="A18" t="inlineStr">
        <is>
          <t>Compute cost fraction after reduction</t>
        </is>
      </c>
      <c r="B18" s="27">
        <f>B16/B3</f>
        <v/>
      </c>
      <c r="D18" s="3" t="inlineStr">
        <is>
          <t>compute share / FLOPs reduction</t>
        </is>
      </c>
    </row>
    <row r="19">
      <c r="A19" t="inlineStr">
        <is>
          <t>Residual cost fraction</t>
        </is>
      </c>
      <c r="B19" s="21">
        <f>B17+B18</f>
        <v/>
      </c>
      <c r="D19" s="3" t="inlineStr">
        <is>
          <t>Amdahl: floored by the least-reduced component</t>
        </is>
      </c>
    </row>
    <row r="20">
      <c r="A20" s="8" t="inlineStr">
        <is>
          <t>COST-WEIGHTED reduction factor</t>
        </is>
      </c>
      <c r="B20" s="12">
        <f>1/B19</f>
        <v/>
      </c>
      <c r="C20" t="inlineStr">
        <is>
          <t>x</t>
        </is>
      </c>
      <c r="D20" s="3" t="inlineStr">
        <is>
          <t>1 / residual. The realistic $ reduction used everywhere.</t>
        </is>
      </c>
    </row>
    <row r="22">
      <c r="A22" s="1" t="inlineStr">
        <is>
          <t>SCENARIOS (2026-08-17 ruling) — TODAY (default) vs CEILING</t>
        </is>
      </c>
      <c r="B22" s="2" t="n"/>
      <c r="C22" s="2" t="n"/>
      <c r="D22" s="2" t="n"/>
    </row>
    <row r="23">
      <c r="A23" t="inlineStr">
        <is>
          <t>Equal-quality parameter ratio at 1T</t>
        </is>
      </c>
      <c r="B23" s="2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blend x ratio</t>
        </is>
      </c>
      <c r="B24" s="29">
        <f>ServingTraining!$B$28*$B$23</f>
        <v/>
      </c>
      <c r="C24" t="inlineStr">
        <is>
          <t>x</t>
        </is>
      </c>
      <c r="D24" s="3" t="inlineStr">
        <is>
          <t>B3 (the FLOPs lever) points here by default.</t>
        </is>
      </c>
    </row>
    <row r="25">
      <c r="A25" t="inlineStr">
        <is>
          <t>CEILING compute lever</t>
        </is>
      </c>
      <c r="B25" s="28" t="n">
        <v>28.23958902252343</v>
      </c>
      <c r="C25" t="inlineStr">
        <is>
          <t>x</t>
        </is>
      </c>
      <c r="D25" s="3" t="inlineStr">
        <is>
          <t>Measured prefill x4.02 (bf16 parameter-matched, d512/1M, 2026-07-21) x 7.03 campaign speedup. RE-BASED 2026-08-24/25/29: that factor is x3.936 MEASURED (already banked: our own step went 400.4 -&gt; 101.7 ms at B16/T2048; 2026-08-29 clean-wall position of record) x x1.786 TARGET (the funded 8k-win gate, no receipt yet); it was a flat x5.5 assumption before. Overtype B3 with =B25 to run the workbook at the ceiling (~50x cost-weighted).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s>
  <sheetData>
    <row r="1">
      <c r="A1" s="1" t="inlineStr">
        <is>
          <t>SENSITIVITY (SpaceX) — TODAY vs CEILING vs live cost-weighted</t>
        </is>
      </c>
      <c r="B1" s="2" t="n"/>
      <c r="C1" s="2" t="n"/>
      <c r="D1" s="2" t="n"/>
      <c r="E1" s="2" t="n"/>
    </row>
    <row r="2">
      <c r="A2" s="8" t="inlineStr">
        <is>
          <t>Metric</t>
        </is>
      </c>
      <c r="B2" s="4" t="inlineStr">
        <is>
          <t>TODAY (~20x)</t>
        </is>
      </c>
      <c r="C2" s="4" t="inlineStr">
        <is>
          <t>CEILING (~50x)</t>
        </is>
      </c>
      <c r="D2" s="4" t="inlineStr">
        <is>
          <t>Cost-weighted (live)</t>
        </is>
      </c>
    </row>
    <row r="3">
      <c r="A3" t="inlineStr">
        <is>
          <t>Efficient acquisition ($B)</t>
        </is>
      </c>
      <c r="B3" s="19">
        <f>SpaceX!$B$12/(1/(Inputs!$B$4/Inputs!$B$2+(1-Inputs!$B$4)/Inputs!$B$24))</f>
        <v/>
      </c>
      <c r="C3" s="19">
        <f>SpaceX!$B$12/(1/(Inputs!$B$4/Inputs!$B$2+(1-Inputs!$B$4)/Inputs!$B$25))</f>
        <v/>
      </c>
      <c r="D3" s="19">
        <f>SpaceX!$B$12/(Inputs!$B$20)</f>
        <v/>
      </c>
    </row>
    <row r="4">
      <c r="A4" t="inlineStr">
        <is>
          <t>Capex avoided/yr ($B)</t>
        </is>
      </c>
      <c r="B4" s="19">
        <f>SpaceX!$B$12-SpaceX!$B$12/(1/(Inputs!$B$4/Inputs!$B$2+(1-Inputs!$B$4)/Inputs!$B$24))</f>
        <v/>
      </c>
      <c r="C4" s="19">
        <f>SpaceX!$B$12-SpaceX!$B$12/(1/(Inputs!$B$4/Inputs!$B$2+(1-Inputs!$B$4)/Inputs!$B$25))</f>
        <v/>
      </c>
      <c r="D4" s="19">
        <f>SpaceX!$B$12-SpaceX!$B$12/(Inputs!$B$20)</f>
        <v/>
      </c>
    </row>
    <row r="5">
      <c r="A5" t="inlineStr">
        <is>
          <t>Annual opex savings ($M)</t>
        </is>
      </c>
      <c r="B5" s="5">
        <f>SpaceX!$B$26</f>
        <v/>
      </c>
      <c r="C5" s="5">
        <f>SpaceX!$B$26</f>
        <v/>
      </c>
      <c r="D5" s="5">
        <f>SpaceX!$B$26</f>
        <v/>
      </c>
    </row>
    <row r="6">
      <c r="A6" t="inlineStr">
        <is>
          <t>Sustained annual benefit ($B)</t>
        </is>
      </c>
      <c r="B6" s="19">
        <f>(SpaceX!$B$12-SpaceX!$B$12/(1/(Inputs!$B$4/Inputs!$B$2+(1-Inputs!$B$4)/Inputs!$B$24)))+SpaceX!$B$26/1000</f>
        <v/>
      </c>
      <c r="C6" s="19">
        <f>(SpaceX!$B$12-SpaceX!$B$12/(1/(Inputs!$B$4/Inputs!$B$2+(1-Inputs!$B$4)/Inputs!$B$25)))+SpaceX!$B$26/1000</f>
        <v/>
      </c>
      <c r="D6" s="19">
        <f>(SpaceX!$B$12-SpaceX!$B$12/(Inputs!$B$20))+SpaceX!$B$26/1000</f>
        <v/>
      </c>
    </row>
    <row r="7">
      <c r="A7" t="inlineStr">
        <is>
          <t>Capitalized value ($B)</t>
        </is>
      </c>
      <c r="B7" s="18">
        <f>((SpaceX!$B$12-SpaceX!$B$12/(1/(Inputs!$B$4/Inputs!$B$2+(1-Inputs!$B$4)/Inputs!$B$24)))+SpaceX!$B$26/1000)/Inputs!$B$6</f>
        <v/>
      </c>
      <c r="C7" s="18">
        <f>((SpaceX!$B$12-SpaceX!$B$12/(1/(Inputs!$B$4/Inputs!$B$2+(1-Inputs!$B$4)/Inputs!$B$25)))+SpaceX!$B$26/1000)/Inputs!$B$6</f>
        <v/>
      </c>
      <c r="D7" s="18">
        <f>((SpaceX!$B$12-SpaceX!$B$12/(Inputs!$B$20))+SpaceX!$B$26/1000)/Inputs!$B$6</f>
        <v/>
      </c>
    </row>
    <row r="8">
      <c r="A8" t="inlineStr">
        <is>
          <t>% of market cap</t>
        </is>
      </c>
      <c r="B8" s="21">
        <f>(((SpaceX!$B$12-SpaceX!$B$12/(1/(Inputs!$B$4/Inputs!$B$2+(1-Inputs!$B$4)/Inputs!$B$24)))+SpaceX!$B$26/1000)/Inputs!$B$6)/Inputs!$B$12</f>
        <v/>
      </c>
      <c r="C8" s="21">
        <f>(((SpaceX!$B$12-SpaceX!$B$12/(1/(Inputs!$B$4/Inputs!$B$2+(1-Inputs!$B$4)/Inputs!$B$25)))+SpaceX!$B$26/1000)/Inputs!$B$6)/Inputs!$B$12</f>
        <v/>
      </c>
      <c r="D8" s="21">
        <f>(((SpaceX!$B$12-SpaceX!$B$12/(Inputs!$B$20))+SpaceX!$B$26/1000)/Inputs!$B$6)/Inputs!$B$12</f>
        <v/>
      </c>
    </row>
    <row r="10">
      <c r="A10" s="3" t="inlineStr">
        <is>
          <t>Base = SpaceX accelerator capex (SpaceX!B12), not total capex. The 'Cost-weighted' column ties to the SpaceX tab (B25/B27) at the conservative dc_scale=0.</t>
        </is>
      </c>
    </row>
  </sheetData>
  <mergeCells count="1">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0" t="n">
        <v>0.9</v>
      </c>
      <c r="C3" s="30" t="n">
        <v>1.4</v>
      </c>
      <c r="D3" s="3" t="inlineStr">
        <is>
          <t>COGS + modest Broadcom/Marvell margin + power + DC. NO NVIDIA margin.</t>
        </is>
      </c>
    </row>
    <row r="4">
      <c r="A4" t="inlineStr">
        <is>
          <t>Buy + operate NVIDIA (scale)</t>
        </is>
      </c>
      <c r="B4" s="30" t="n">
        <v>1.5</v>
      </c>
      <c r="C4" s="30" t="n">
        <v>2</v>
      </c>
      <c r="D4" s="3" t="inlineStr">
        <is>
          <t>NVIDIA ~84% gross margin baked into capex + power + DC.</t>
        </is>
      </c>
    </row>
    <row r="5">
      <c r="A5" t="inlineStr">
        <is>
          <t>Rent NVIDIA - neocloud / committed</t>
        </is>
      </c>
      <c r="B5" s="30" t="n">
        <v>2</v>
      </c>
      <c r="C5" s="30" t="n">
        <v>3.5</v>
      </c>
      <c r="D5" s="3" t="inlineStr">
        <is>
          <t>+ cloud provider capex recovery &amp; margin.</t>
        </is>
      </c>
    </row>
    <row r="6">
      <c r="A6" t="inlineStr">
        <is>
          <t>Rent NVIDIA - hyperscaler on-demand</t>
        </is>
      </c>
      <c r="B6" s="30" t="n">
        <v>3</v>
      </c>
      <c r="C6" s="30" t="n">
        <v>7</v>
      </c>
      <c r="D6" s="3" t="inlineStr">
        <is>
          <t>+ utilization risk + flexibility premium (new B200 to ~$14).</t>
        </is>
      </c>
    </row>
    <row r="8">
      <c r="A8" s="1" t="inlineStr">
        <is>
          <t>OWNED-NVIDIA TCO CROSS-CHECK (from Inputs)</t>
        </is>
      </c>
      <c r="B8" s="2" t="n"/>
      <c r="C8" s="2" t="n"/>
      <c r="D8" s="2" t="n"/>
    </row>
    <row r="9">
      <c r="A9" t="inlineStr">
        <is>
          <t>Utilization</t>
        </is>
      </c>
      <c r="B9" s="16" t="n">
        <v>0.85</v>
      </c>
    </row>
    <row r="10">
      <c r="A10" t="inlineStr">
        <is>
          <t>Capex $/hr</t>
        </is>
      </c>
      <c r="B10" s="19">
        <f>Inputs!$B$7/(Inputs!$B$11*8760*B9)</f>
        <v/>
      </c>
      <c r="D10" s="3" t="inlineStr">
        <is>
          <t>fully-loaded $/GPU / (life x 8760h x utilization)</t>
        </is>
      </c>
    </row>
    <row r="11">
      <c r="A11" t="inlineStr">
        <is>
          <t>Power $/hr</t>
        </is>
      </c>
      <c r="B11" s="19">
        <f>Inputs!$B$8*Inputs!$B$9</f>
        <v/>
      </c>
      <c r="D11" s="3" t="inlineStr">
        <is>
          <t>wall kW x $/kWh</t>
        </is>
      </c>
    </row>
    <row r="12">
      <c r="A12" t="inlineStr">
        <is>
          <t>DC/staff adder $/hr</t>
        </is>
      </c>
      <c r="B12" s="28" t="n">
        <v>0.3</v>
      </c>
    </row>
    <row r="13">
      <c r="A13" s="8" t="inlineStr">
        <is>
          <t>Owned TCO $/hr</t>
        </is>
      </c>
      <c r="B13" s="29">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edit the yellow cells; every sheet recomputes</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3" t="n">
        <v>10</v>
      </c>
      <c r="F7" s="3" t="inlineStr">
        <is>
          <t>~10:1 = code / reasoning / agent traces. 50-100:1 = RAG and document QA.</t>
        </is>
      </c>
    </row>
    <row r="8">
      <c r="A8" t="inlineStr">
        <is>
          <t>E[context] (tokens)</t>
        </is>
      </c>
      <c r="B8" s="25" t="n">
        <v>65536</v>
      </c>
      <c r="F8" s="3" t="inlineStr">
        <is>
          <t>Our decode cost is context-flat and the transformer's is linear, so the decode advantage is linear in this.</t>
        </is>
      </c>
    </row>
    <row r="9">
      <c r="A9" t="inlineStr">
        <is>
          <t>Training share of accelerator cost</t>
        </is>
      </c>
      <c r="B9" s="28"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7" t="n">
        <v>4496.668604837461</v>
      </c>
    </row>
    <row r="13">
      <c r="A13" t="inlineStr">
        <is>
          <t>KV MB per token per stream</t>
        </is>
      </c>
      <c r="B13" s="31" t="n">
        <v>0.15234375</v>
      </c>
    </row>
    <row r="14">
      <c r="A14" t="inlineStr">
        <is>
          <t>HBM TB/s per GPU</t>
        </is>
      </c>
      <c r="B14" s="28" t="n">
        <v>3.35</v>
      </c>
    </row>
    <row r="15">
      <c r="A15" t="inlineStr">
        <is>
          <t>Transformer KV compression (mature stack)</t>
        </is>
      </c>
      <c r="B15" s="23" t="n">
        <v>1</v>
      </c>
    </row>
    <row r="16">
      <c r="A16" t="inlineStr">
        <is>
          <t>GPUs per box</t>
        </is>
      </c>
      <c r="B16" s="32" t="n">
        <v>8</v>
      </c>
    </row>
    <row r="17">
      <c r="A17" t="inlineStr">
        <is>
          <t>Training advantage, short sequence (owned / transformer)</t>
        </is>
      </c>
      <c r="B17" s="33"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19">
        <f>$B$8*$B$13/1024</f>
        <v/>
      </c>
    </row>
    <row r="21">
      <c r="A21" t="inlineStr">
        <is>
          <t>KV GB per stream, compressed</t>
        </is>
      </c>
      <c r="B21" s="34">
        <f>$B$20/$B$15</f>
        <v/>
      </c>
    </row>
    <row r="22">
      <c r="A22" t="inlineStr">
        <is>
          <t>Transformer decode, tokens/s/box</t>
        </is>
      </c>
      <c r="B22" s="18">
        <f>511.8416*32768/$B$8*$B$15*$B$16</f>
        <v/>
      </c>
      <c r="F22" s="3" t="inlineStr">
        <is>
          <t>MEASURED 1/context law (2026-08-14 re-base): 511.84 tok/s/GPU at 32,768 ctx x 32768/E[context] x KV-compression x GPUs. Crosses our flat 562/GPU near ~30k context.</t>
        </is>
      </c>
    </row>
    <row r="23">
      <c r="A23" t="inlineStr">
        <is>
          <t>Prefill table row (lookup)</t>
        </is>
      </c>
      <c r="B23" s="35">
        <f>MATCH($B$8,$A$33:$A$39,1)</f>
        <v/>
      </c>
    </row>
    <row r="24">
      <c r="A24" t="inlineStr">
        <is>
          <t>Prefill tokens/s/box — transformer</t>
        </is>
      </c>
      <c r="B24" s="18">
        <f>IF(INDEX($B$33:$B$39,MIN($B$23+1,7))=INDEX($B$33:$B$39,$B$23),INDEX($B$33:$B$39,$B$23),EXP(LN(INDEX($B$33:$B$39,$B$23))+(LN($B$8)-LN(INDEX($A$33:$A$39,$B$23)))/(LN(INDEX($A$33:$A$39,MIN($B$23+1,7)))-LN(INDEX($A$33:$A$39,$B$23)))*(LN(INDEX($B$33:$B$39,MIN($B$23+1,7)))-LN(INDEX($B$33:$B$39,$B$23)))))*$B$16</f>
        <v/>
      </c>
    </row>
    <row r="25">
      <c r="A25" t="inlineStr">
        <is>
          <t>Prefill tokens/s/box — owned</t>
        </is>
      </c>
      <c r="B25" s="18">
        <f>IF(INDEX($C$33:$C$39,MIN($B$23+1,7))=INDEX($C$33:$C$39,$B$23),INDEX($C$33:$C$39,$B$23),EXP(LN(INDEX($C$33:$C$39,$B$23))+(LN($B$8)-LN(INDEX($A$33:$A$39,$B$23)))/(LN(INDEX($A$33:$A$39,MIN($B$23+1,7)))-LN(INDEX($A$33:$A$39,$B$23)))*(LN(INDEX($C$33:$C$39,MIN($B$23+1,7)))-LN(INDEX($C$33:$C$39,$B$23)))))*$B$16</f>
        <v/>
      </c>
    </row>
    <row r="26">
      <c r="A26" t="inlineStr">
        <is>
          <t>Transformer seconds per generated token</t>
        </is>
      </c>
      <c r="B26" s="36">
        <f>$B$7/$B$24+1/$B$22</f>
        <v/>
      </c>
    </row>
    <row r="27">
      <c r="A27" t="inlineStr">
        <is>
          <t>Owned seconds per generated token</t>
        </is>
      </c>
      <c r="B27" s="36">
        <f>$B$7/$B$25+1/$B$12</f>
        <v/>
      </c>
    </row>
    <row r="28">
      <c r="A28" s="8" t="inlineStr">
        <is>
          <t>BLENDED COMPUTE LEVER (flop_factor)</t>
        </is>
      </c>
      <c r="B28" s="29">
        <f>IF($B$9&gt;0,1/($B$9/$B$17+(1-$B$9)/($B$26/$B$27)),$B$26/$B$27)</f>
        <v/>
      </c>
      <c r="F28" s="3" t="inlineStr">
        <is>
          <t>Inputs!B24 (TODAY lever) = this x the equal-quality parameter ratio; Inputs!B3 follows it, so this drives the whole workbook.</t>
        </is>
      </c>
    </row>
    <row r="29">
      <c r="A29" t="inlineStr">
        <is>
          <t xml:space="preserve">  of which: prefill advantage</t>
        </is>
      </c>
      <c r="B29" s="19">
        <f>($B$7/$B$24)/($B$7/$B$25)</f>
        <v/>
      </c>
    </row>
    <row r="30">
      <c r="A30" t="inlineStr">
        <is>
          <t xml:space="preserve">  of which: decode advantage</t>
        </is>
      </c>
      <c r="B30" s="37">
        <f>(1/$B$22)/(1/$B$12)</f>
        <v/>
      </c>
    </row>
    <row r="32">
      <c r="A32" s="8" t="inlineStr">
        <is>
          <t>Measured prefill throughput, tokens/s/GPU (bf16 saturated lane, d2048)</t>
        </is>
      </c>
      <c r="D32" s="38" t="inlineStr">
        <is>
          <t>Context</t>
        </is>
      </c>
      <c r="E32" s="38" t="inlineStr">
        <is>
          <t>Transformer</t>
        </is>
      </c>
      <c r="F32" s="38" t="inlineStr">
        <is>
          <t>Owned</t>
        </is>
      </c>
    </row>
    <row r="33">
      <c r="A33" s="39" t="n">
        <v>2048</v>
      </c>
      <c r="B33" s="17" t="n">
        <v>4682606.88285999</v>
      </c>
      <c r="C33" s="17" t="n">
        <v>1185825</v>
      </c>
    </row>
    <row r="34">
      <c r="A34" s="39" t="n">
        <v>8192</v>
      </c>
      <c r="B34" s="17" t="n">
        <v>3450080</v>
      </c>
      <c r="C34" s="17" t="n">
        <v>1183690</v>
      </c>
    </row>
    <row r="35">
      <c r="A35" s="39" t="n">
        <v>32768</v>
      </c>
      <c r="B35" s="17" t="n">
        <v>1711802</v>
      </c>
      <c r="C35" s="17" t="n">
        <v>1186661</v>
      </c>
    </row>
    <row r="36">
      <c r="A36" s="39" t="n">
        <v>65536</v>
      </c>
      <c r="B36" s="17" t="n">
        <v>1007187</v>
      </c>
      <c r="C36" s="17" t="n">
        <v>1181622</v>
      </c>
    </row>
    <row r="37">
      <c r="A37" s="39" t="n">
        <v>131072</v>
      </c>
      <c r="B37" s="17" t="n">
        <v>541094</v>
      </c>
      <c r="C37" s="17" t="n">
        <v>978107</v>
      </c>
    </row>
    <row r="38">
      <c r="A38" s="39" t="n">
        <v>262144</v>
      </c>
      <c r="B38" s="17" t="n">
        <v>277474</v>
      </c>
      <c r="C38" s="17" t="n">
        <v>726142</v>
      </c>
    </row>
    <row r="39">
      <c r="A39" s="39" t="n">
        <v>524288</v>
      </c>
      <c r="B39" s="17" t="n">
        <v>140820</v>
      </c>
      <c r="C39" s="17"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8" t="inlineStr">
        <is>
          <t>Context (tokens)</t>
        </is>
      </c>
      <c r="B44" s="38" t="inlineStr">
        <is>
          <t>bAttention $/1M tok</t>
        </is>
      </c>
      <c r="C44" s="38" t="inlineStr">
        <is>
          <t>Transformer $/1M tok (mature stack)</t>
        </is>
      </c>
      <c r="D44" s="38" t="inlineStr">
        <is>
          <t>TF streams/GPU</t>
        </is>
      </c>
      <c r="E44" s="38" t="inlineStr">
        <is>
          <t>Cost ratio</t>
        </is>
      </c>
      <c r="F44" s="38" t="inlineStr">
        <is>
          <t>Note</t>
        </is>
      </c>
    </row>
    <row r="45">
      <c r="A45" s="39" t="n">
        <v>4096</v>
      </c>
      <c r="B45" s="40" t="n">
        <v>1.235482541359387</v>
      </c>
      <c r="C45" s="41" t="n">
        <v>0.1695945640120853</v>
      </c>
      <c r="D45" s="35" t="n">
        <v>118</v>
      </c>
      <c r="E45" s="42" t="n">
        <v>0.1372698992779634</v>
      </c>
      <c r="F45" s="43" t="inlineStr"/>
    </row>
    <row r="46">
      <c r="A46" s="39" t="n">
        <v>16384</v>
      </c>
      <c r="B46" s="40" t="n">
        <v>1.235482541359387</v>
      </c>
      <c r="C46" s="41" t="n">
        <v>0.678378256048341</v>
      </c>
      <c r="D46" s="35" t="n">
        <v>29</v>
      </c>
      <c r="E46" s="42" t="n">
        <v>0.5490795971118535</v>
      </c>
      <c r="F46" s="43" t="inlineStr"/>
    </row>
    <row r="47">
      <c r="A47" s="39" t="n">
        <v>32768</v>
      </c>
      <c r="B47" s="40" t="n">
        <v>1.235482541359387</v>
      </c>
      <c r="C47" s="41" t="n">
        <v>1.356756512096682</v>
      </c>
      <c r="D47" s="35" t="n">
        <v>14</v>
      </c>
      <c r="E47" s="42" t="n">
        <v>1.098159194223707</v>
      </c>
      <c r="F47" s="43" t="inlineStr"/>
    </row>
    <row r="48">
      <c r="A48" s="39" t="n">
        <v>65536</v>
      </c>
      <c r="B48" s="40" t="n">
        <v>1.235482541359387</v>
      </c>
      <c r="C48" s="41" t="n">
        <v>2.713513024193364</v>
      </c>
      <c r="D48" s="35" t="n">
        <v>7</v>
      </c>
      <c r="E48" s="42" t="n">
        <v>2.196318388447414</v>
      </c>
      <c r="F48" s="43" t="inlineStr"/>
    </row>
    <row r="49">
      <c r="A49" s="39" t="n">
        <v>131072</v>
      </c>
      <c r="B49" s="40" t="n">
        <v>1.235482541359387</v>
      </c>
      <c r="C49" s="41" t="n">
        <v>5.427026048386728</v>
      </c>
      <c r="D49" s="35" t="n">
        <v>3</v>
      </c>
      <c r="E49" s="42" t="n">
        <v>4.392636776894828</v>
      </c>
      <c r="F49" s="43" t="inlineStr"/>
    </row>
    <row r="50">
      <c r="A50" s="39" t="n">
        <v>262144</v>
      </c>
      <c r="B50" s="40" t="n">
        <v>1.235482541359387</v>
      </c>
      <c r="C50" s="41" t="n">
        <v>10.85405209677346</v>
      </c>
      <c r="D50" s="35" t="n">
        <v>1</v>
      </c>
      <c r="E50" s="42" t="n">
        <v>8.785273553789656</v>
      </c>
      <c r="F50" s="43" t="inlineStr">
        <is>
          <t>a measured decode cell (64 streams/GPU against the transformer 1)</t>
        </is>
      </c>
    </row>
    <row r="51">
      <c r="A51" s="39" t="n">
        <v>1048576</v>
      </c>
      <c r="B51" s="44" t="n">
        <v>1.235482541359387</v>
      </c>
      <c r="C51" s="41" t="n">
        <v/>
      </c>
      <c r="D51" s="35" t="n">
        <v>0</v>
      </c>
      <c r="E51" s="42" t="n">
        <v/>
      </c>
      <c r="F51" s="43"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8" t="inlineStr">
        <is>
          <t>Metric</t>
        </is>
      </c>
      <c r="B55" s="38" t="inlineStr">
        <is>
          <t>Value</t>
        </is>
      </c>
      <c r="C55" s="38" t="inlineStr">
        <is>
          <t>Ratio / consequence</t>
        </is>
      </c>
      <c r="D55" s="38" t="inlineStr"/>
      <c r="E55" s="38" t="inlineStr"/>
      <c r="F55" s="38" t="inlineStr">
        <is>
          <t>Status — derived.json key</t>
        </is>
      </c>
    </row>
    <row r="56">
      <c r="A56" s="45" t="inlineStr">
        <is>
          <t>8-GPU speedup, matched load (16 in flight)</t>
        </is>
      </c>
      <c r="B56" s="46" t="inlineStr">
        <is>
          <t>x5.15 fwd+bwd vs x3.70 fwd-only Ulysses best</t>
        </is>
      </c>
      <c r="C56" s="47" t="inlineStr">
        <is>
          <t>x1.39 cluster throughput</t>
        </is>
      </c>
      <c r="F56" s="43" t="inlineStr">
        <is>
          <t>MEASURED — matched_load_curve</t>
        </is>
      </c>
    </row>
    <row r="57">
      <c r="A57" s="45" t="inlineStr">
        <is>
          <t>8-GPU speedup, deep load (256 in flight)</t>
        </is>
      </c>
      <c r="B57" s="46" t="inlineStr">
        <is>
          <t>x6.27 (pipeline keeps filling; TF saturated by 16)</t>
        </is>
      </c>
      <c r="C57" s="47" t="inlineStr">
        <is>
          <t>x1.70</t>
        </is>
      </c>
      <c r="F57" s="43" t="inlineStr">
        <is>
          <t>MEASURED — scaling_1to8_best</t>
        </is>
      </c>
    </row>
    <row r="58">
      <c r="A58" s="45" t="inlineStr">
        <is>
          <t>GPU-hours for the same training work</t>
        </is>
      </c>
      <c r="B58" s="48" t="inlineStr">
        <is>
          <t>-28% (matched) … -41% (deep)</t>
        </is>
      </c>
      <c r="C58" s="45" t="inlineStr"/>
      <c r="F58" s="43" t="inlineStr">
        <is>
          <t>derived</t>
        </is>
      </c>
    </row>
    <row r="59">
      <c r="A59" s="45" t="inlineStr">
        <is>
          <t>64k-token sequence on one 80 GB GPU</t>
        </is>
      </c>
      <c r="B59" s="46" t="inlineStr">
        <is>
          <t>30.9 GB fits vs OOM (78.4 GB attempted)</t>
        </is>
      </c>
      <c r="C59" s="45" t="inlineStr"/>
      <c r="F59" s="43" t="inlineStr">
        <is>
          <t>MEASURED — pipeline_feasibility</t>
        </is>
      </c>
    </row>
    <row r="60">
      <c r="A60" s="45" t="inlineStr">
        <is>
          <t>Pipeline per-GPU peak (flat in load)</t>
        </is>
      </c>
      <c r="B60" s="46" t="inlineStr">
        <is>
          <t>9.05 GB vs 43.3 GB GPipe stage</t>
        </is>
      </c>
      <c r="C60" s="47" t="inlineStr">
        <is>
          <t>x4.8 (component-scope, width-unmatched)</t>
        </is>
      </c>
      <c r="F60" s="43" t="inlineStr">
        <is>
          <t>MEASURED — pipeline_memory_asymmetry</t>
        </is>
      </c>
    </row>
    <row r="61">
      <c r="A61" s="45" t="inlineStr">
        <is>
          <t>Params for equal quality at 70B</t>
        </is>
      </c>
      <c r="B61" s="49" t="inlineStr">
        <is>
          <t>x4.1 [2.2-7.7] transformer</t>
        </is>
      </c>
      <c r="C61" s="45" t="inlineStr"/>
      <c r="F61" s="43" t="inlineStr">
        <is>
          <t>PROJECTION — quality_fit.ref_70B</t>
        </is>
      </c>
    </row>
    <row r="62">
      <c r="A62" s="45" t="inlineStr">
        <is>
          <t>Tokens for equal quality at 70B</t>
        </is>
      </c>
      <c r="B62" s="49" t="inlineStr">
        <is>
          <t>x1.68 [1.33-2.10] (beta=0.28 assumption)</t>
        </is>
      </c>
      <c r="C62" s="45" t="inlineStr"/>
      <c r="F62" s="43" t="inlineStr">
        <is>
          <t>PROJECTION — quality_fit.ref_70B</t>
        </is>
      </c>
    </row>
    <row r="63">
      <c r="A63" s="45" t="inlineStr">
        <is>
          <t>Stepped vs scanned training</t>
        </is>
      </c>
      <c r="B63" s="46" t="inlineStr">
        <is>
          <t>x24 cost to step the recurrence token-by-token</t>
        </is>
      </c>
      <c r="C63" s="45" t="inlineStr"/>
      <c r="F63" s="43" t="inlineStr">
        <is>
          <t>MEASURED — stepped_vs_scanned</t>
        </is>
      </c>
    </row>
    <row r="65">
      <c r="A65" s="1" t="inlineStr">
        <is>
          <t>The compute lever — blended over the workload (sets flop_factor)</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T~32,000;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recurrent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paper/figures/vc_memo_training_cost_scaling.png</t>
        </is>
      </c>
    </row>
    <row r="71">
      <c r="A71" s="38" t="inlineStr">
        <is>
          <t>Transformer params</t>
        </is>
      </c>
      <c r="B71" s="38" t="inlineStr">
        <is>
          <t>s(N) fit</t>
        </is>
      </c>
      <c r="C71" s="38" t="inlineStr">
        <is>
          <t>Chinchilla 2k</t>
        </is>
      </c>
      <c r="D71" s="38" t="inlineStr">
        <is>
          <t>Chinchilla 8k</t>
        </is>
      </c>
      <c r="E71" s="38" t="inlineStr">
        <is>
          <t>Chinchilla 32k</t>
        </is>
      </c>
      <c r="F71" s="38" t="inlineStr">
        <is>
          <t>Chinchilla 256k*</t>
        </is>
      </c>
      <c r="G71" s="38" t="inlineStr">
        <is>
          <t>Fixed-D 2k / 8k / 32k / 256k*</t>
        </is>
      </c>
    </row>
    <row r="72">
      <c r="A72" s="45" t="inlineStr">
        <is>
          <t>1B</t>
        </is>
      </c>
      <c r="B72" s="28" t="n">
        <v>1.187536580013817</v>
      </c>
      <c r="C72" s="19" t="n">
        <v>0.8215525301701575</v>
      </c>
      <c r="D72" s="19" t="n">
        <v>1.151570796996963</v>
      </c>
      <c r="E72" s="19" t="n">
        <v>2.471643864304184</v>
      </c>
      <c r="F72" s="19" t="n">
        <v>14.79232582583825</v>
      </c>
      <c r="G72" s="47" t="inlineStr">
        <is>
          <t>0.69 / 0.97 / 2.08 / 12.46</t>
        </is>
      </c>
    </row>
    <row r="73">
      <c r="A73" s="45" t="inlineStr">
        <is>
          <t>10B</t>
        </is>
      </c>
      <c r="B73" s="28" t="n">
        <v>1.811968550196262</v>
      </c>
      <c r="C73" s="19" t="n">
        <v>1.912681494778985</v>
      </c>
      <c r="D73" s="19" t="n">
        <v>2.681007084096966</v>
      </c>
      <c r="E73" s="19" t="n">
        <v>5.754309441368888</v>
      </c>
      <c r="F73" s="19" t="n">
        <v>34.43846477590683</v>
      </c>
      <c r="G73" s="47" t="inlineStr">
        <is>
          <t>1.06 / 1.48 / 3.18 / 19.01</t>
        </is>
      </c>
    </row>
    <row r="74">
      <c r="A74" s="45" t="inlineStr">
        <is>
          <t>100B</t>
        </is>
      </c>
      <c r="B74" s="28" t="n">
        <v>2.764740120141925</v>
      </c>
      <c r="C74" s="19" t="n">
        <v>4.452972106010361</v>
      </c>
      <c r="D74" s="19" t="n">
        <v>6.241734336892029</v>
      </c>
      <c r="E74" s="19" t="n">
        <v>13.3967832604187</v>
      </c>
      <c r="F74" s="19" t="n">
        <v>80.17723988000094</v>
      </c>
      <c r="G74" s="47" t="inlineStr">
        <is>
          <t>1.61 / 2.26 / 4.85 / 29.00</t>
        </is>
      </c>
    </row>
    <row r="75">
      <c r="A75" s="45" t="inlineStr">
        <is>
          <t>1T</t>
        </is>
      </c>
      <c r="B75" s="28" t="n">
        <v>4.21849922897088</v>
      </c>
      <c r="C75" s="19" t="n">
        <v>10.36710013195259</v>
      </c>
      <c r="D75" s="19" t="n">
        <v>14.53157202136217</v>
      </c>
      <c r="E75" s="19" t="n">
        <v>31.1894595790005</v>
      </c>
      <c r="F75" s="19" t="n">
        <v>186.6630767836249</v>
      </c>
      <c r="G75" s="47" t="inlineStr">
        <is>
          <t>2.46 / 3.44 / 7.39 / 44.25</t>
        </is>
      </c>
    </row>
    <row r="76">
      <c r="A76" s="45" t="inlineStr">
        <is>
          <t>10T</t>
        </is>
      </c>
      <c r="B76" s="28" t="n">
        <v>6.436675771144228</v>
      </c>
      <c r="C76" s="19" t="n">
        <v>24.13596191201503</v>
      </c>
      <c r="D76" s="19" t="n">
        <v>33.83139589327395</v>
      </c>
      <c r="E76" s="19" t="n">
        <v>72.61313181830963</v>
      </c>
      <c r="F76" s="19" t="n">
        <v>434.576000451976</v>
      </c>
      <c r="G76" s="47"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8" t="inlineStr">
        <is>
          <t>Training curriculum</t>
        </is>
      </c>
      <c r="B80" s="38" t="inlineStr">
        <is>
          <t>Advantage (TF / ours)</t>
        </is>
      </c>
      <c r="C80" s="38" t="inlineStr">
        <is>
          <t>Effective r</t>
        </is>
      </c>
      <c r="D80" s="38" t="inlineStr">
        <is>
          <t>Mix: token share -&gt; transformer cost share</t>
        </is>
      </c>
      <c r="E80" s="38" t="inlineStr">
        <is>
          <t>FY25 cut @ 20% training</t>
        </is>
      </c>
      <c r="F80" s="38" t="inlineStr">
        <is>
          <t>vs serving-only</t>
        </is>
      </c>
      <c r="G80" s="38" t="inlineStr">
        <is>
          <t>Status</t>
        </is>
      </c>
    </row>
    <row r="81">
      <c r="A81" s="45" t="inlineStr">
        <is>
          <t>Legacy short (all training at 2k)</t>
        </is>
      </c>
      <c r="B81" s="50" t="n">
        <v>0.5825609168739004</v>
      </c>
      <c r="C81" s="51" t="n">
        <v>1.716558682594317</v>
      </c>
      <c r="D81" s="43" t="inlineStr">
        <is>
          <t>2k: 100% tok -&gt; 100% cost</t>
        </is>
      </c>
      <c r="E81" s="52" t="n">
        <v>154.8429860104542</v>
      </c>
      <c r="F81" s="53" t="n">
        <v>-3.989093013920126</v>
      </c>
      <c r="G81" s="54" t="inlineStr">
        <is>
          <t>MEASURED (degenerate one-context case)</t>
        </is>
      </c>
    </row>
    <row r="82">
      <c r="A82" s="45" t="inlineStr">
        <is>
          <t>Modern standard (8k bulk + 64k/256k extension)</t>
        </is>
      </c>
      <c r="B82" s="50" t="n">
        <v>2.220667013967386</v>
      </c>
      <c r="C82" s="51" t="n">
        <v>0.4503151502275102</v>
      </c>
      <c r="D82" s="43" t="inlineStr">
        <is>
          <t>8k: 70% tok -&gt; 26% cost  64k: 20% tok -&gt; 27% cost  256k: 10% tok -&gt; 47% cost</t>
        </is>
      </c>
      <c r="E82" s="52" t="n">
        <v>158.8547874640003</v>
      </c>
      <c r="F82" s="53" t="n">
        <v>0.02270843962591584</v>
      </c>
      <c r="G82" s="55" t="inlineStr">
        <is>
          <t>ILLUSTRATIVE ASSUMPTION</t>
        </is>
      </c>
    </row>
    <row r="83">
      <c r="A83" s="45" t="inlineStr">
        <is>
          <t>Long-context heavy (frontier extension phases)</t>
        </is>
      </c>
      <c r="B83" s="50" t="n">
        <v>7.743424712739709</v>
      </c>
      <c r="C83" s="51" t="n">
        <v>0.1291418251093435</v>
      </c>
      <c r="D83" s="43" t="inlineStr">
        <is>
          <t>8k: 40% tok -&gt; 4% cost  64k: 25% tok -&gt; 10% cost  256k: 25% tok -&gt; 34% cost  1024k: 10% tok -&gt; 52% cost</t>
        </is>
      </c>
      <c r="E83" s="52" t="n">
        <v>159.8723512892946</v>
      </c>
      <c r="F83" s="53" t="n">
        <v>1.040272264920191</v>
      </c>
      <c r="G83" s="55" t="inlineStr">
        <is>
          <t>ILLUSTRATIVE ASSUMPTION</t>
        </is>
      </c>
    </row>
    <row r="84">
      <c r="A84" s="45" t="inlineStr">
        <is>
          <t>Frontier + long-rollout RL</t>
        </is>
      </c>
      <c r="B84" s="50" t="n">
        <v>12.08050561742532</v>
      </c>
      <c r="C84" s="51" t="n">
        <v>0.08277799221893223</v>
      </c>
      <c r="D84" s="43" t="inlineStr">
        <is>
          <t>8k: 30% tok -&gt; 2% cost  64k: 20% tok -&gt; 5% cost  256k: 30% tok -&gt; 26% cost  1024k: 20% tok -&gt; 67% cost</t>
        </is>
      </c>
      <c r="E84" s="52" t="n">
        <v>160.0192444322226</v>
      </c>
      <c r="F84" s="53" t="n">
        <v>1.187165407848255</v>
      </c>
      <c r="G84" s="55" t="inlineStr">
        <is>
          <t>ILLUSTRATIVE ASSUMPTION</t>
        </is>
      </c>
    </row>
    <row r="86">
      <c r="A86" s="3" t="inlineStr">
        <is>
          <t>EXCLUDED, AND IT RUNS OUR WAY. At 262k+ the transformer additionally pays sequence-parallelism and activation-memory costs an O(1) recurrent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experiments/paper_figures/output/matched_d{512,1024,2048}_h100.json</t>
        </is>
      </c>
    </row>
    <row r="90">
      <c r="A90" s="38" t="inlineStr">
        <is>
          <t>Context (tokens)</t>
        </is>
      </c>
      <c r="B90" s="38" t="inlineStr">
        <is>
          <t>Transformer ms</t>
        </is>
      </c>
      <c r="C90" s="38" t="inlineStr">
        <is>
          <t>bAttention ms</t>
        </is>
      </c>
      <c r="D90" s="38" t="inlineStr">
        <is>
          <t>TF / bAttention</t>
        </is>
      </c>
      <c r="E90" s="38" t="inlineStr"/>
      <c r="F90" s="38" t="inlineStr">
        <is>
          <t>Note</t>
        </is>
      </c>
    </row>
    <row r="91">
      <c r="A91" s="39" t="n">
        <v>2048</v>
      </c>
      <c r="B91" s="5" t="n">
        <v>111.229</v>
      </c>
      <c r="C91" s="14" t="n">
        <v>663.1130000000001</v>
      </c>
      <c r="D91" s="50" t="n">
        <v>0.16773762541226</v>
      </c>
      <c r="F91" s="43" t="inlineStr">
        <is>
          <t>transformer ahead</t>
        </is>
      </c>
    </row>
    <row r="92">
      <c r="A92" s="39" t="n">
        <v>4096</v>
      </c>
      <c r="B92" s="5" t="n">
        <v>125.091</v>
      </c>
      <c r="C92" s="14" t="n">
        <v>662.751</v>
      </c>
      <c r="D92" s="50" t="n">
        <v>0.1887450943114382</v>
      </c>
      <c r="F92" s="43" t="inlineStr">
        <is>
          <t>transformer ahead</t>
        </is>
      </c>
    </row>
    <row r="93">
      <c r="A93" s="39" t="n">
        <v>8192</v>
      </c>
      <c r="B93" s="5" t="n">
        <v>153.085</v>
      </c>
      <c r="C93" s="14" t="n">
        <v>663.327</v>
      </c>
      <c r="D93" s="50" t="n">
        <v>0.2307836104967836</v>
      </c>
      <c r="F93" s="43" t="inlineStr">
        <is>
          <t>transformer ahead</t>
        </is>
      </c>
    </row>
    <row r="94">
      <c r="A94" s="39" t="n">
        <v>16384</v>
      </c>
      <c r="B94" s="5" t="n">
        <v>204.919</v>
      </c>
      <c r="C94" s="14" t="n">
        <v>663.202</v>
      </c>
      <c r="D94" s="50" t="n">
        <v>0.3089842913622094</v>
      </c>
      <c r="F94" s="43" t="inlineStr">
        <is>
          <t>transformer ahead</t>
        </is>
      </c>
    </row>
    <row r="95">
      <c r="A95" s="39" t="n">
        <v>32768</v>
      </c>
      <c r="B95" s="5" t="n">
        <v>309.886</v>
      </c>
      <c r="C95" s="14" t="n">
        <v>662.6180000000001</v>
      </c>
      <c r="D95" s="50" t="n">
        <v>0.4676691547769605</v>
      </c>
      <c r="F95" s="43" t="inlineStr">
        <is>
          <t>transformer ahead</t>
        </is>
      </c>
    </row>
    <row r="96">
      <c r="A96" s="39" t="n">
        <v>65536</v>
      </c>
      <c r="B96" s="5" t="n">
        <v>520.986</v>
      </c>
      <c r="C96" s="14" t="n">
        <v>663.199</v>
      </c>
      <c r="D96" s="50" t="n">
        <v>0.7855651169558459</v>
      </c>
      <c r="F96" s="43" t="inlineStr">
        <is>
          <t>transformer ahead</t>
        </is>
      </c>
    </row>
    <row r="97">
      <c r="A97" s="39" t="n">
        <v>131072</v>
      </c>
      <c r="B97" s="5" t="n">
        <v>969.79</v>
      </c>
      <c r="C97" s="14" t="n">
        <v>753.457</v>
      </c>
      <c r="D97" s="50" t="n">
        <v>1.287120565606265</v>
      </c>
      <c r="F97" s="43" t="inlineStr"/>
    </row>
    <row r="98">
      <c r="A98" s="39" t="n">
        <v>262144</v>
      </c>
      <c r="B98" s="5" t="n">
        <v>1889.616</v>
      </c>
      <c r="C98" s="14" t="n">
        <v>938.175</v>
      </c>
      <c r="D98" s="50" t="n">
        <v>2.014140219042289</v>
      </c>
      <c r="F98" s="43" t="inlineStr"/>
    </row>
    <row r="99">
      <c r="A99" s="39" t="n">
        <v>524288</v>
      </c>
      <c r="B99" s="5" t="n">
        <v>3718.717</v>
      </c>
      <c r="C99" s="14" t="n">
        <v>1308.837</v>
      </c>
      <c r="D99" s="50" t="n">
        <v>2.841237678947035</v>
      </c>
      <c r="F99" s="43" t="inlineStr"/>
    </row>
    <row r="101">
      <c r="A101" s="1" t="inlineStr">
        <is>
          <t>Assumptions — one row each (MEASURED / PROJECTION / ASSUMPTION)</t>
        </is>
      </c>
      <c r="B101" s="2" t="n"/>
      <c r="C101" s="2" t="n"/>
      <c r="D101" s="2" t="n"/>
      <c r="E101" s="2" t="n"/>
      <c r="F101" s="2" t="n"/>
    </row>
    <row r="102">
      <c r="A102" s="38" t="inlineStr">
        <is>
          <t>Assumption</t>
        </is>
      </c>
      <c r="B102" s="38" t="inlineStr">
        <is>
          <t>Value</t>
        </is>
      </c>
      <c r="C102" s="38" t="inlineStr"/>
      <c r="D102" s="38" t="inlineStr"/>
      <c r="E102" s="38" t="inlineStr">
        <is>
          <t>Status</t>
        </is>
      </c>
      <c r="F102" s="38" t="inlineStr">
        <is>
          <t>Source</t>
        </is>
      </c>
    </row>
    <row r="103">
      <c r="A103" s="45" t="inlineStr">
        <is>
          <t>Compute lever (economics slide)</t>
        </is>
      </c>
      <c r="B103" s="43" t="inlineStr">
        <is>
          <t>x9.24 = the x2.19 MEASURED serving blend x the x4.22 FIT-DERIVED equal-quality parameter ratio at trillion scale</t>
        </is>
      </c>
      <c r="E103" s="55" t="inlineStr">
        <is>
          <t>MEASURED x PROJECTION</t>
        </is>
      </c>
      <c r="F103" s="43" t="inlineStr">
        <is>
          <t>workload_compute_advantage() x quality_matched_compute_lever(); receipts derived.json + quality_fit_v4.json</t>
        </is>
      </c>
    </row>
    <row r="104">
      <c r="A104" s="45" t="inlineStr">
        <is>
          <t>Equal-quality parameter matching</t>
        </is>
      </c>
      <c r="B104" s="43"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5" t="inlineStr">
        <is>
          <t>PROJECTION</t>
        </is>
      </c>
      <c r="F104" s="43" t="inlineStr">
        <is>
          <t>quality_fit_v4.json param_matching; fits over the sealed rope-convention ladder</t>
        </is>
      </c>
    </row>
    <row r="105">
      <c r="A105" s="45" t="inlineStr">
        <is>
          <t>Single-GPU training step (AGAINST us)</t>
        </is>
      </c>
      <c r="B105" s="43"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4" t="inlineStr">
        <is>
          <t>MEASURED</t>
        </is>
      </c>
      <c r="F105" s="43" t="inlineStr">
        <is>
          <t>2026-08-24 GH200 megakernel measurement; prior: dtype_trio_v4.json rows[fp16]</t>
        </is>
      </c>
    </row>
    <row r="106">
      <c r="A106" s="45" t="inlineStr">
        <is>
          <t>Training PEAK MEMORY (AGAINST us)</t>
        </is>
      </c>
      <c r="B106" s="43" t="inlineStr">
        <is>
          <t>x1.579 at T=2,048 (17,087.5 vs 10,823.6 MiB) and x1.567 at T=8,192, down from x2.829 the same morning. This is TRAINING peak memory and is NOT the mem_factor lever, which is SERVING state (O(1) recurrent state vs O(T) KV cache) and is unaffected. It is not an input to the cost model; it caps per-GPU batch density</t>
        </is>
      </c>
      <c r="E106" s="54" t="inlineStr">
        <is>
          <t>MEASURED</t>
        </is>
      </c>
      <c r="F106" s="43" t="inlineStr">
        <is>
          <t>2026-08-24 GH200 megakernel measurement</t>
        </is>
      </c>
    </row>
    <row r="107">
      <c r="A107" s="45" t="inlineStr">
        <is>
          <t>Kernel program (TARGET, not a result)</t>
        </is>
      </c>
      <c r="B107" s="43"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CEILING_PREFILL_SPEEDUP = the MEASURED x3.936 already banked x this x1.786 target</t>
        </is>
      </c>
      <c r="E107" s="55" t="inlineStr">
        <is>
          <t>TARGET</t>
        </is>
      </c>
      <c r="F107" s="43" t="inlineStr">
        <is>
          <t>kernel-campaign program plan, 2026-08-24 — no receipt behind the target half</t>
        </is>
      </c>
    </row>
    <row r="108">
      <c r="A108" s="45" t="inlineStr">
        <is>
          <t>Context scaling of the training gap</t>
        </is>
      </c>
      <c r="B108" s="43"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T~16,900. Holding the old x0.802 decay constant instead would say x1.43 at 32k and a crossover near T~310,000 - that is the CONSERVATIVE extrapolation, because the transformer's quadratic attention term makes its per-4x growth rise with context while ours stays flat</t>
        </is>
      </c>
      <c r="E108" s="55" t="inlineStr">
        <is>
          <t>MEASURED (2 ratio points) + PROJECTION</t>
        </is>
      </c>
      <c r="F108" s="43" t="inlineStr">
        <is>
          <t>2026-08-24 GH200 megakernel measurement; 2k cell re-based 2026-08-25</t>
        </is>
      </c>
    </row>
    <row r="109">
      <c r="A109" s="45" t="inlineStr">
        <is>
          <t>Training CONTEXT MIX (reads the other way)</t>
        </is>
      </c>
      <c r="B109" s="43"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5" t="inlineStr">
        <is>
          <t>MEASURED r(T) + ILLUSTRATIVE mix</t>
        </is>
      </c>
      <c r="F109" s="43" t="inlineStr">
        <is>
          <t>TRAIN_COST_FIT_20260824, TRAINING_CURRICULA, training_advantage_mix()</t>
        </is>
      </c>
    </row>
    <row r="110">
      <c r="A110" s="45" t="inlineStr">
        <is>
          <t>Long-context training memory (EXCLUDED, runs our way)</t>
        </is>
      </c>
      <c r="B110" s="43" t="inlineStr">
        <is>
          <t>at 262k+ the transformer additionally pays sequence-parallelism and activation-memory costs that an O(1) recurrent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5" t="inlineStr">
        <is>
          <t>DIRECTIONAL — measured components, not a costed lever</t>
        </is>
      </c>
      <c r="F110" s="43" t="inlineStr">
        <is>
          <t>KERNEL_CAMPAIGN_20260824 mem_ratio_2k/8k; KV_MB_PER_TOKEN_PER_STREAM</t>
        </is>
      </c>
    </row>
    <row r="111">
      <c r="A111" s="45" t="inlineStr">
        <is>
          <t>$/GPU-hour</t>
        </is>
      </c>
      <c r="B111" s="43" t="inlineStr">
        <is>
          <t>$2.50 (H100 rent, neocloud/committed mid; ladder 2.00-3.50)</t>
        </is>
      </c>
      <c r="E111" s="55" t="inlineStr">
        <is>
          <t>ASSUMPTION</t>
        </is>
      </c>
      <c r="F111" s="43" t="inlineStr">
        <is>
          <t>this file's CostLadder row — unchanged rate basis</t>
        </is>
      </c>
    </row>
    <row r="112">
      <c r="A112" s="45" t="inlineStr">
        <is>
          <t>Utilization</t>
        </is>
      </c>
      <c r="B112" s="43" t="inlineStr">
        <is>
          <t>85%</t>
        </is>
      </c>
      <c r="E112" s="55" t="inlineStr">
        <is>
          <t>ASSUMPTION</t>
        </is>
      </c>
      <c r="F112" s="43" t="inlineStr">
        <is>
          <t>same value as the ladder's owned-TCO cross-check</t>
        </is>
      </c>
    </row>
    <row r="113">
      <c r="A113" s="45" t="inlineStr">
        <is>
          <t>Context-length mix</t>
        </is>
      </c>
      <c r="B113" s="43" t="inlineStr">
        <is>
          <t>headline quoted at 262k (a measured decode cell); table sweeps 4k-1M. The decode lever crosses 1 at ~29,800 tokens and BELOW that the transformer serves more tokens per GPU-second than we do — stated on every surface</t>
        </is>
      </c>
      <c r="E113" s="55" t="inlineStr">
        <is>
          <t>ASSUMPTION</t>
        </is>
      </c>
      <c r="F113" s="43" t="inlineStr">
        <is>
          <t>serving_cost_curve, decode_throughput_ratio</t>
        </is>
      </c>
    </row>
    <row r="114">
      <c r="A114" s="45" t="inlineStr">
        <is>
          <t>Decode lever is MEMORY-CEILING, not latency (READ FIRST)</t>
        </is>
      </c>
      <c r="B114" s="43"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4" t="inlineStr">
        <is>
          <t>MEASURED</t>
        </is>
      </c>
      <c r="F114" s="43" t="inlineStr">
        <is>
          <t>deck_decode_d2048_bf16_gh200_20260814.json; DECODE_THROUGHPUT_20260814</t>
        </is>
      </c>
    </row>
    <row r="115">
      <c r="A115" s="45" t="inlineStr">
        <is>
          <t>Transformer-stack maturity</t>
        </is>
      </c>
      <c r="B115" s="43"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15" s="55" t="inlineStr">
        <is>
          <t>ASSUMPTION</t>
        </is>
      </c>
      <c r="F115" s="43" t="inlineStr">
        <is>
          <t>SERVING['tf_kv_compression']</t>
        </is>
      </c>
    </row>
    <row r="116">
      <c r="A116" s="45" t="inlineStr">
        <is>
          <t>bAttention serving throughput</t>
        </is>
      </c>
      <c r="B116" s="43"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4" t="inlineStr">
        <is>
          <t>MEASURED</t>
        </is>
      </c>
      <c r="F116" s="43" t="inlineStr">
        <is>
          <t>deck_decode_d2048_bf16_gh200_20260814.json rows[bdm, 64 streams]</t>
        </is>
      </c>
    </row>
    <row r="117">
      <c r="A117" s="45" t="inlineStr">
        <is>
          <t>bAttention per-stream state</t>
        </is>
      </c>
      <c r="B117" s="43" t="inlineStr">
        <is>
          <t>25.4 MB/stream, the FULL recurrent cell (h + M memory), 24.2 MiB measured, context-flat. The 0.15 MB figure previously quoted was an h-carry-only proxy with no M memory and is retired as a headline</t>
        </is>
      </c>
      <c r="E117" s="54" t="inlineStr">
        <is>
          <t>MEASURED</t>
        </is>
      </c>
      <c r="F117" s="43" t="inlineStr">
        <is>
          <t>deck_decode_d2048_bf16_gh200_20260814.json state_bytes_per_stream</t>
        </is>
      </c>
    </row>
    <row r="118">
      <c r="A118" s="45" t="inlineStr">
        <is>
          <t>Transformer KV wall</t>
        </is>
      </c>
      <c r="B118" s="43"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8" s="54" t="inlineStr">
        <is>
          <t>MEASURED</t>
        </is>
      </c>
      <c r="F118" s="43" t="inlineStr">
        <is>
          <t>deck_decode_d2048_bf16_gh200_20260814.json rows[transformer]</t>
        </is>
      </c>
    </row>
    <row r="119">
      <c r="A119" s="45" t="inlineStr">
        <is>
          <t>Training throughput at 8 GPUs</t>
        </is>
      </c>
      <c r="B119" s="43" t="inlineStr">
        <is>
          <t>x5.15 (bAttention, fwd+bwd) vs x3.70 (transformer Ulysses best, forward-only) at matched 16-in-flight load -&gt; x1.39; x6.27 at 256 in flight -&gt; x1.70</t>
        </is>
      </c>
      <c r="E119" s="54" t="inlineStr">
        <is>
          <t>MEASURED</t>
        </is>
      </c>
      <c r="F119" s="43" t="inlineStr">
        <is>
          <t>derived.json matched_load_curve, scaling_1to8_best</t>
        </is>
      </c>
    </row>
    <row r="120">
      <c r="A120" s="45" t="inlineStr">
        <is>
          <t>Memory walls (component scope)</t>
        </is>
      </c>
      <c r="B120" s="43" t="inlineStr">
        <is>
          <t>64k-token sequence: 30.9 GB (fits 1 GPU) vs OOM at 78.4 GB attempted; pipeline stage 9.05 GB flat vs GPipe 43.3 GB</t>
        </is>
      </c>
      <c r="E120" s="54" t="inlineStr">
        <is>
          <t>MEASURED</t>
        </is>
      </c>
      <c r="F120" s="43" t="inlineStr">
        <is>
          <t>derived.json pipeline_feasibility, pipeline_memory_asymmetry</t>
        </is>
      </c>
    </row>
    <row r="121">
      <c r="A121" s="45" t="inlineStr">
        <is>
          <t>Compute lever (flop_factor)</t>
        </is>
      </c>
      <c r="B121" s="43"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CEILING_PREFILL_SPEEDUP, not here</t>
        </is>
      </c>
      <c r="E121" s="54" t="inlineStr">
        <is>
          <t>MEASURED</t>
        </is>
      </c>
      <c r="F121" s="43" t="inlineStr">
        <is>
          <t>matched_d{512,1024,2048}_h100.json (2026-07-21)</t>
        </is>
      </c>
    </row>
    <row r="122">
      <c r="A122" s="45" t="inlineStr">
        <is>
          <t>Compute, fp32 lane (scope reference)</t>
        </is>
      </c>
      <c r="B122" s="43"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5" t="inlineStr">
        <is>
          <t>LABEL</t>
        </is>
      </c>
      <c r="F122" s="43" t="inlineStr">
        <is>
          <t>deck_speed_scaling_d2048_h100_20260803.json sdpa_fp32_backend_probe + last_route_attestation</t>
        </is>
      </c>
    </row>
    <row r="123">
      <c r="A123" s="45" t="inlineStr">
        <is>
          <t>16-bit IO (training)</t>
        </is>
      </c>
      <c r="B123" s="43" t="inlineStr">
        <is>
          <t>same-arch GH200 gate at d1536: fp16 x1.185 step time and -17.5% peak memory, bf16 x1.171 and -20.6%; quality deltas +0.001 to +0.004 from the gate's smaller vehicle. Reported on its own; not an input to the compute lever</t>
        </is>
      </c>
      <c r="E123" s="54" t="inlineStr">
        <is>
          <t>MEASURED</t>
        </is>
      </c>
      <c r="F123" s="43" t="inlineStr">
        <is>
          <t>receipts/io16_gate_20260809.md (2026-08-09)</t>
        </is>
      </c>
    </row>
    <row r="124">
      <c r="A124" s="45" t="inlineStr">
        <is>
          <t>Quality parity at 70B</t>
        </is>
      </c>
      <c r="B124" s="43" t="inlineStr">
        <is>
          <t>transformer needs x4.1 params [2.2-7.7] or x1.7 tokens [1.33-2.10, beta=0.28 assumption]; crossover N* ~321M = the top measured rung</t>
        </is>
      </c>
      <c r="E124" s="55" t="inlineStr">
        <is>
          <t>PROJECTION</t>
        </is>
      </c>
      <c r="F124" s="43" t="inlineStr">
        <is>
          <t>derived.json quality_fit.ref_70B, parity_cost</t>
        </is>
      </c>
    </row>
    <row r="125">
      <c r="A125" s="45" t="inlineStr">
        <is>
          <t>Scope</t>
        </is>
      </c>
      <c r="B125" s="43" t="inlineStr">
        <is>
          <t>systems numbers are component-scope (bAttention d1536 fwd+bwd h-recurrence sub-block vs transformer d2048 forward-only layer); every speedup is vs the family's OWN 1-GPU baseline</t>
        </is>
      </c>
      <c r="E125" s="55" t="inlineStr">
        <is>
          <t>LABEL</t>
        </is>
      </c>
      <c r="F125" s="43"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6" t="n">
        <v>0.45</v>
      </c>
      <c r="C27" s="37">
        <f>1/(B27/Inputs!$B$2+(1-B27)/Inputs!$B$3)</f>
        <v/>
      </c>
      <c r="D27" t="inlineStr">
        <is>
          <t>compute term dominates -&gt; stays far below 100x</t>
        </is>
      </c>
    </row>
    <row r="28">
      <c r="A28" t="inlineStr">
        <is>
          <t>memory share = 50%</t>
        </is>
      </c>
      <c r="B28" s="16" t="n">
        <v>0.5</v>
      </c>
      <c r="C28" s="37">
        <f>1/(B28/Inputs!$B$2+(1-B28)/Inputs!$B$3)</f>
        <v/>
      </c>
      <c r="D28" t="inlineStr">
        <is>
          <t>compute term dominates -&gt; stays far below 100x</t>
        </is>
      </c>
    </row>
    <row r="29">
      <c r="A29" t="inlineStr">
        <is>
          <t>memory share = 60%</t>
        </is>
      </c>
      <c r="B29" s="16" t="n">
        <v>0.6</v>
      </c>
      <c r="C29" s="37">
        <f>1/(B29/Inputs!$B$2+(1-B29)/Inputs!$B$3)</f>
        <v/>
      </c>
      <c r="D29" t="inlineStr">
        <is>
          <t>compute term dominates -&gt; stays far below 100x</t>
        </is>
      </c>
    </row>
    <row r="30">
      <c r="A30" t="inlineStr">
        <is>
          <t>memory share = 70%</t>
        </is>
      </c>
      <c r="B30" s="16" t="n">
        <v>0.7</v>
      </c>
      <c r="C30" s="37">
        <f>1/(B30/Inputs!$B$2+(1-B30)/Inputs!$B$3)</f>
        <v/>
      </c>
      <c r="D30" t="inlineStr">
        <is>
          <t>compute term dominates -&gt; stays far below 100x</t>
        </is>
      </c>
    </row>
    <row r="31">
      <c r="A31" t="inlineStr">
        <is>
          <t>memory share = 82%</t>
        </is>
      </c>
      <c r="B31" s="16" t="n">
        <v>0.82</v>
      </c>
      <c r="C31" s="37">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TODAY (default): memory x100 + FLOPs x9.24 (blend x2.19 x equal-quality parameter ratio x4.22 at 1T) -&gt; ~20x cost-weighted (Inputs B20). CEILING: FLOPs x28.2 -&gt; ~50x (re-based 2026-08-24/25/29: x3.936 measured x x1.786 target, was a flat x5.5 assumption).</t>
        </is>
      </c>
    </row>
    <row r="4">
      <c r="A4" s="3" t="inlineStr">
        <is>
          <t xml:space="preserve">  Floored by the least-reduced part (compute). Neither alone helps (mem-only ~2.5x, FLOP-only ~1.5x).</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~20x TODAY, ~50x at the CEILING (NOT 100x; ~16-36x over memory share 45-82% at the Today lever).</t>
        </is>
      </c>
    </row>
    <row r="18">
      <c r="A18" s="3" t="inlineStr">
        <is>
          <t>- Net AI FY25: 6 named firms spend ~$375B (capex+opex) vs ~$79B AI revenue = ~ -$295B/yr cash burn.</t>
        </is>
      </c>
    </row>
    <row r="19">
      <c r="A19" s="3" t="inlineStr">
        <is>
          <t>- With our architecture: spend cut ~$159B -&gt; burn shrinks to ~ -$136B/yr (~42% of AI spend cut).</t>
        </is>
      </c>
    </row>
    <row r="20">
      <c r="A20" s="3" t="inlineStr">
        <is>
          <t>- Spend-cut value (named floor, 6% discount rate): FY25 ~$159B/yr (~$2.6T capitalized); FY26 r/r ~$366B/yr (~$6.1T). Ceiling: ~$164B FY25.</t>
        </is>
      </c>
    </row>
    <row r="21">
      <c r="A21" s="3" t="inlineStr">
        <is>
          <t>- GLOBAL estimate (named ~80% of world AI capex): FY25 ~$3.3T, FY26 ~$7.6T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2026-09-01T01:35:24Z</dcterms:created>
  <dcterms:modified xmlns:dcterms="http://purl.org/dc/terms/" xmlns:xsi="http://www.w3.org/2001/XMLSchema-instance" xsi:type="dcterms:W3CDTF">2026-09-01T01:35:24Z</dcterms:modified>
</cp:coreProperties>
</file>