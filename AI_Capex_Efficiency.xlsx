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s" sheetId="1" state="visible" r:id="rId1"/>
    <sheet xmlns:r="http://schemas.openxmlformats.org/officeDocument/2006/relationships" name="Microsoft" sheetId="2" state="visible" r:id="rId2"/>
    <sheet xmlns:r="http://schemas.openxmlformats.org/officeDocument/2006/relationships" name="Alphabet" sheetId="3" state="visible" r:id="rId3"/>
    <sheet xmlns:r="http://schemas.openxmlformats.org/officeDocument/2006/relationships" name="Amazon" sheetId="4" state="visible" r:id="rId4"/>
    <sheet xmlns:r="http://schemas.openxmlformats.org/officeDocument/2006/relationships" name="Meta" sheetId="5" state="visible" r:id="rId5"/>
    <sheet xmlns:r="http://schemas.openxmlformats.org/officeDocument/2006/relationships" name="Oracle" sheetId="6" state="visible" r:id="rId6"/>
    <sheet xmlns:r="http://schemas.openxmlformats.org/officeDocument/2006/relationships" name="SpaceX" sheetId="7" state="visible" r:id="rId7"/>
    <sheet xmlns:r="http://schemas.openxmlformats.org/officeDocument/2006/relationships" name="Inputs" sheetId="8" state="visible" r:id="rId8"/>
    <sheet xmlns:r="http://schemas.openxmlformats.org/officeDocument/2006/relationships" name="Sensitivity" sheetId="9" state="visible" r:id="rId9"/>
    <sheet xmlns:r="http://schemas.openxmlformats.org/officeDocument/2006/relationships" name="CostLadder" sheetId="10" state="visible" r:id="rId10"/>
    <sheet xmlns:r="http://schemas.openxmlformats.org/officeDocument/2006/relationships" name="ServingTraining" sheetId="11" state="visible" r:id="rId11"/>
    <sheet xmlns:r="http://schemas.openxmlformats.org/officeDocument/2006/relationships" name="Evidence" sheetId="12" state="visible" r:id="rId12"/>
    <sheet xmlns:r="http://schemas.openxmlformats.org/officeDocument/2006/relationships" name="Methodolog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%"/>
    <numFmt numFmtId="166" formatCode="#,##0.0"/>
    <numFmt numFmtId="167" formatCode="0.000000"/>
    <numFmt numFmtId="168" formatCode="0.000"/>
    <numFmt numFmtId="169" formatCode="$0.0000"/>
    <numFmt numFmtId="170" formatCode="$0.00"/>
    <numFmt numFmtId="171" formatCode="0.0×"/>
    <numFmt numFmtId="172" formatCode="0.00×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6" fontId="0" fillId="5" borderId="1" pivotButton="0" quotePrefix="0" xfId="0"/>
    <xf numFmtId="166" fontId="2" fillId="5" borderId="1" pivotButton="0" quotePrefix="0" xfId="0"/>
    <xf numFmtId="9" fontId="0" fillId="5" borderId="1" pivotButton="0" quotePrefix="0" xfId="0"/>
    <xf numFmtId="0" fontId="2" fillId="0" borderId="0" pivotButton="0" quotePrefix="0" xfId="0"/>
    <xf numFmtId="3" fontId="2" fillId="6" borderId="1" pivotButton="0" quotePrefix="0" xfId="0"/>
    <xf numFmtId="9" fontId="2" fillId="6" borderId="1" pivotButton="0" quotePrefix="0" xfId="0"/>
    <xf numFmtId="3" fontId="0" fillId="6" borderId="1" pivotButton="0" quotePrefix="0" xfId="0"/>
    <xf numFmtId="164" fontId="2" fillId="5" borderId="1" pivotButton="0" quotePrefix="0" xfId="0"/>
    <xf numFmtId="3" fontId="2" fillId="5" borderId="1" pivotButton="0" quotePrefix="0" xfId="0"/>
    <xf numFmtId="166" fontId="0" fillId="4" borderId="1" pivotButton="0" quotePrefix="0" xfId="0"/>
    <xf numFmtId="166" fontId="0" fillId="3" borderId="1" pivotButton="0" quotePrefix="0" xfId="0"/>
    <xf numFmtId="9" fontId="0" fillId="3" borderId="1" pivotButton="0" quotePrefix="0" xfId="0"/>
    <xf numFmtId="3" fontId="0" fillId="4" borderId="1" pivotButton="0" quotePrefix="0" xfId="0"/>
    <xf numFmtId="3" fontId="0" fillId="5" borderId="1" pivotButton="0" quotePrefix="0" xfId="0"/>
    <xf numFmtId="2" fontId="0" fillId="5" borderId="1" pivotButton="0" quotePrefix="0" xfId="0"/>
    <xf numFmtId="4" fontId="0" fillId="5" borderId="1" pivotButton="0" quotePrefix="0" xfId="0"/>
    <xf numFmtId="165" fontId="0" fillId="5" borderId="1" pivotButton="0" quotePrefix="0" xfId="0"/>
    <xf numFmtId="0" fontId="3" fillId="0" borderId="0" pivotButton="0" quotePrefix="0" xfId="0"/>
    <xf numFmtId="164" fontId="0" fillId="3" borderId="1" pivotButton="0" quotePrefix="0" xfId="0"/>
    <xf numFmtId="165" fontId="0" fillId="3" borderId="1" pivotButton="0" quotePrefix="0" xfId="0"/>
    <xf numFmtId="3" fontId="0" fillId="3" borderId="1" pivotButton="0" quotePrefix="0" xfId="0"/>
    <xf numFmtId="164" fontId="0" fillId="4" borderId="1" pivotButton="0" quotePrefix="0" xfId="0"/>
    <xf numFmtId="10" fontId="0" fillId="5" borderId="1" pivotButton="0" quotePrefix="0" xfId="0"/>
    <xf numFmtId="2" fontId="0" fillId="3" borderId="1" pivotButton="0" quotePrefix="0" xfId="0"/>
    <xf numFmtId="2" fontId="2" fillId="5" borderId="1" pivotButton="0" quotePrefix="0" xfId="0"/>
    <xf numFmtId="2" fontId="0" fillId="4" borderId="1" pivotButton="0" quotePrefix="0" xfId="0"/>
    <xf numFmtId="167" fontId="0" fillId="4" borderId="1" pivotButton="0" quotePrefix="0" xfId="0"/>
    <xf numFmtId="1" fontId="0" fillId="3" borderId="1" pivotButton="0" quotePrefix="0" xfId="0"/>
    <xf numFmtId="168" fontId="0" fillId="4" borderId="1" pivotButton="0" quotePrefix="0" xfId="0"/>
    <xf numFmtId="168" fontId="0" fillId="5" borderId="1" pivotButton="0" quotePrefix="0" xfId="0"/>
    <xf numFmtId="1" fontId="0" fillId="5" borderId="1" pivotButton="0" quotePrefix="0" xfId="0"/>
    <xf numFmtId="167" fontId="0" fillId="5" borderId="1" pivotButton="0" quotePrefix="0" xfId="0"/>
    <xf numFmtId="164" fontId="0" fillId="5" borderId="1" pivotButton="0" quotePrefix="0" xfId="0"/>
    <xf numFmtId="0" fontId="2" fillId="6" borderId="1" pivotButton="0" quotePrefix="0" xfId="0"/>
    <xf numFmtId="3" fontId="0" fillId="0" borderId="1" pivotButton="0" quotePrefix="0" xfId="0"/>
    <xf numFmtId="169" fontId="0" fillId="4" borderId="1" pivotButton="0" quotePrefix="0" xfId="0"/>
    <xf numFmtId="170" fontId="0" fillId="5" borderId="1" pivotButton="0" quotePrefix="0" xfId="0"/>
    <xf numFmtId="171" fontId="0" fillId="5" borderId="1" pivotButton="0" quotePrefix="0" xfId="0"/>
    <xf numFmtId="0" fontId="0" fillId="0" borderId="1" applyAlignment="1" pivotButton="0" quotePrefix="0" xfId="0">
      <alignment vertical="top" wrapText="1"/>
    </xf>
    <xf numFmtId="169" fontId="0" fillId="3" borderId="1" pivotButton="0" quotePrefix="0" xfId="0"/>
    <xf numFmtId="0" fontId="0" fillId="0" borderId="1" pivotButton="0" quotePrefix="0" xfId="0"/>
    <xf numFmtId="0" fontId="0" fillId="4" borderId="1" applyAlignment="1" pivotButton="0" quotePrefix="0" xfId="0">
      <alignment vertical="top" wrapText="1"/>
    </xf>
    <xf numFmtId="0" fontId="0" fillId="5" borderId="1" pivotButton="0" quotePrefix="0" xfId="0"/>
    <xf numFmtId="0" fontId="0" fillId="5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72" fontId="0" fillId="5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789019/000095017025100235/msft-20250630.htm" TargetMode="External" Id="rId1"/><Relationship Type="http://schemas.openxmlformats.org/officeDocument/2006/relationships/hyperlink" Target="https://www.fool.com/earnings/call-transcripts/2026/04/29/microsoft-msft-q3-2026-earnings-transcript/" TargetMode="External" Id="rId2"/><Relationship Type="http://schemas.openxmlformats.org/officeDocument/2006/relationships/hyperlink" Target="https://news.alphastreet.com/microsoft-msft-q3-fy2026-azure-hits-40-growth-as-ai-business-reaches-37-billion-run-rate/" TargetMode="External" Id="rId3"/><Relationship Type="http://schemas.openxmlformats.org/officeDocument/2006/relationships/hyperlink" Target="https://techcrunch.com/2024/12/18/microsoft-bought-nearly-500000-nvidia-hopper-chips-this-year/" TargetMode="External" Id="rId4"/></Relationships>
</file>

<file path=xl/worksheets/_rels/sheet3.xml.rels><Relationships xmlns="http://schemas.openxmlformats.org/package/2006/relationships"><Relationship Type="http://schemas.openxmlformats.org/officeDocument/2006/relationships/hyperlink" Target="https://www.fool.com/earnings/call-transcripts/2026/02/04/alphabet-googl-q4-2025-earnings-call-transcript/" TargetMode="External" Id="rId1"/><Relationship Type="http://schemas.openxmlformats.org/officeDocument/2006/relationships/hyperlink" Target="https://www.cnbc.com/2026/04/29/alphabet-googl-q1-2026-earnings.html" TargetMode="External" Id="rId2"/><Relationship Type="http://schemas.openxmlformats.org/officeDocument/2006/relationships/hyperlink" Target="https://newsletter.semianalysis.com/p/tpuv7-google-takes-a-swing-at-the" TargetMode="External" Id="rId3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018724/000101872426000004/amzn-20251231.htm" TargetMode="External" Id="rId1"/><Relationship Type="http://schemas.openxmlformats.org/officeDocument/2006/relationships/hyperlink" Target="https://www.fool.com/earnings/call-transcripts/2026/02/05/amazon-amzn-q4-2025-earnings-call-transcript/" TargetMode="External" Id="rId2"/><Relationship Type="http://schemas.openxmlformats.org/officeDocument/2006/relationships/hyperlink" Target="https://www.bnnbloomberg.ca/business/artificial-intelligence/2026/04/09/amazon-cloud-units-ai-revenue-run-rate-exceeds-us15-billion-in-first-quarter-ceo-says/" TargetMode="External" Id="rId3"/></Relationships>
</file>

<file path=xl/worksheets/_rels/sheet5.xml.rels><Relationships xmlns="http://schemas.openxmlformats.org/package/2006/relationships"><Relationship Type="http://schemas.openxmlformats.org/officeDocument/2006/relationships/hyperlink" Target="https://investor.atmeta.com/investor-news/press-release-details/2026/Meta-Reports-Fourth-Quarter-and-Full-Year-2025-Results/default.aspx" TargetMode="External" Id="rId1"/><Relationship Type="http://schemas.openxmlformats.org/officeDocument/2006/relationships/hyperlink" Target="https://www.fool.com/earnings/call-transcripts/2026/04/29/meta-meta-q1-2026-earnings-call-transcript/" TargetMode="External" Id="rId2"/><Relationship Type="http://schemas.openxmlformats.org/officeDocument/2006/relationships/hyperlink" Target="https://techcrunch.com/2025/01/24/mark-zuckerberg-says-meta-will-have-1-3m-gpus-for-ai-by-year-end/" TargetMode="External" Id="rId3"/><Relationship Type="http://schemas.openxmlformats.org/officeDocument/2006/relationships/hyperlink" Target="https://www.thestack.technology/meta-extends-server-life-again-saving-it-2-9-billion/" TargetMode="External" Id="rId4"/><Relationship Type="http://schemas.openxmlformats.org/officeDocument/2006/relationships/hyperlink" Target="https://finance.yahoo.com/news/big-techs-spending-drove-nvidias-rise-154027146.html" TargetMode="External" Id="rId5"/></Relationships>
</file>

<file path=xl/worksheets/_rels/sheet6.xml.rels><Relationships xmlns="http://schemas.openxmlformats.org/package/2006/relationships"><Relationship Type="http://schemas.openxmlformats.org/officeDocument/2006/relationships/hyperlink" Target="https://www.ciodive.com/news/oracle-capex-spike-cloud-ai-data-center/807721/" TargetMode="External" Id="rId1"/><Relationship Type="http://schemas.openxmlformats.org/officeDocument/2006/relationships/hyperlink" Target="https://futurumgroup.com/insights/oracle-delivers-q4-fy-2025-results-with-27-cloud-growth-rpo-hits-138-billion/" TargetMode="External" Id="rId2"/><Relationship Type="http://schemas.openxmlformats.org/officeDocument/2006/relationships/hyperlink" Target="https://futurumgroup.com/insights/oracle-q2-fy-2026-cloud-grows-capex-rises-for-ai-buildout/" TargetMode="External" Id="rId3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181412/000162828026036936/spaceexplorationtechnologi.htm" TargetMode="External" Id="rId1"/><Relationship Type="http://schemas.openxmlformats.org/officeDocument/2006/relationships/hyperlink" Target="https://www.hl.co.uk/news/inside-spacexs-ipo-filing-revenue-starlink-ai-and-key-financials" TargetMode="External" Id="rId2"/><Relationship Type="http://schemas.openxmlformats.org/officeDocument/2006/relationships/hyperlink" Target="https://www.investing.com/analysis/spacex-is-quietly-becoming-an-ai-compute-and-orbital-infrastructure-company-200681776" TargetMode="External" Id="rId3"/><Relationship Type="http://schemas.openxmlformats.org/officeDocument/2006/relationships/hyperlink" Target="https://www.datacenterdynamics.com/en/news/spacex-ipo-musks-firm-set-to-launch-first-orbital-data-center-ai1-satellites-in-2027-will-put-compute-on-starlink-craft/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1" customWidth="1" min="4" max="4"/>
    <col width="12" customWidth="1" min="5" max="5"/>
    <col width="13" customWidth="1" min="6" max="6"/>
    <col width="13" customWidth="1" min="7" max="7"/>
    <col width="9" customWidth="1" min="8" max="8"/>
  </cols>
  <sheetData>
    <row r="1">
      <c r="A1" s="1" t="inlineStr">
        <is>
          <t>6-COMPANY AI ECONOMICS — current AI cash burn &amp; the effect of our architecture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They all spend far more on AI (capex + opex) than they earn from it -- they are losing money on AI today. Our architecture cuts the accelerator spend ~95%, shrinking the burn. The named firms are a floor; a GLOBAL estimate grosses up for the rest. Yellow assumption cells (also sliders in the app) and green disclosed-data cells live on company tabs.</t>
        </is>
      </c>
    </row>
    <row r="4">
      <c r="A4" s="1" t="inlineStr">
        <is>
          <t>NET AI ECONOMICS — FY2025 (cash basis: AI revenue - AI capex - AI opex)</t>
        </is>
      </c>
      <c r="B4" s="2" t="n"/>
      <c r="C4" s="2" t="n"/>
      <c r="D4" s="2" t="n"/>
      <c r="E4" s="2" t="n"/>
      <c r="F4" s="2" t="n"/>
      <c r="G4" s="2" t="n"/>
      <c r="H4" s="2" t="n"/>
    </row>
    <row r="5">
      <c r="A5" s="4" t="inlineStr">
        <is>
          <t>Company</t>
        </is>
      </c>
      <c r="B5" s="4" t="inlineStr">
        <is>
          <t>AI revenue ($B)</t>
        </is>
      </c>
      <c r="C5" s="4" t="inlineStr">
        <is>
          <t>AI capex ($B)</t>
        </is>
      </c>
      <c r="D5" s="4" t="inlineStr">
        <is>
          <t>AI opex ($B)</t>
        </is>
      </c>
      <c r="E5" s="4" t="inlineStr">
        <is>
          <t>Net AI NOW ($B)</t>
        </is>
      </c>
      <c r="F5" s="4" t="inlineStr">
        <is>
          <t>Spend cut, our arch ($B)</t>
        </is>
      </c>
      <c r="G5" s="4" t="inlineStr">
        <is>
          <t>Net AI W/ ARCH ($B)</t>
        </is>
      </c>
      <c r="H5" s="4" t="inlineStr">
        <is>
          <t>% spend cut</t>
        </is>
      </c>
    </row>
    <row r="6">
      <c r="A6" t="inlineStr">
        <is>
          <t>Microsoft</t>
        </is>
      </c>
      <c r="B6" s="5">
        <f>Microsoft!$B$32</f>
        <v/>
      </c>
      <c r="C6" s="5">
        <f>Microsoft!$B$33</f>
        <v/>
      </c>
      <c r="D6" s="5">
        <f>Microsoft!$B$34</f>
        <v/>
      </c>
      <c r="E6" s="6">
        <f>Microsoft!$B$35</f>
        <v/>
      </c>
      <c r="F6" s="5">
        <f>Microsoft!$B$36</f>
        <v/>
      </c>
      <c r="G6" s="6">
        <f>Microsoft!$B$37</f>
        <v/>
      </c>
      <c r="H6" s="7">
        <f>Microsoft!$B$38</f>
        <v/>
      </c>
    </row>
    <row r="7">
      <c r="A7" t="inlineStr">
        <is>
          <t>Alphabet</t>
        </is>
      </c>
      <c r="B7" s="5">
        <f>Alphabet!$B$32</f>
        <v/>
      </c>
      <c r="C7" s="5">
        <f>Alphabet!$B$33</f>
        <v/>
      </c>
      <c r="D7" s="5">
        <f>Alphabet!$B$34</f>
        <v/>
      </c>
      <c r="E7" s="6">
        <f>Alphabet!$B$35</f>
        <v/>
      </c>
      <c r="F7" s="5">
        <f>Alphabet!$B$36</f>
        <v/>
      </c>
      <c r="G7" s="6">
        <f>Alphabet!$B$37</f>
        <v/>
      </c>
      <c r="H7" s="7">
        <f>Alphabet!$B$38</f>
        <v/>
      </c>
    </row>
    <row r="8">
      <c r="A8" t="inlineStr">
        <is>
          <t>Amazon</t>
        </is>
      </c>
      <c r="B8" s="5">
        <f>Amazon!$B$32</f>
        <v/>
      </c>
      <c r="C8" s="5">
        <f>Amazon!$B$33</f>
        <v/>
      </c>
      <c r="D8" s="5">
        <f>Amazon!$B$34</f>
        <v/>
      </c>
      <c r="E8" s="6">
        <f>Amazon!$B$35</f>
        <v/>
      </c>
      <c r="F8" s="5">
        <f>Amazon!$B$36</f>
        <v/>
      </c>
      <c r="G8" s="6">
        <f>Amazon!$B$37</f>
        <v/>
      </c>
      <c r="H8" s="7">
        <f>Amazon!$B$38</f>
        <v/>
      </c>
    </row>
    <row r="9">
      <c r="A9" t="inlineStr">
        <is>
          <t>Meta</t>
        </is>
      </c>
      <c r="B9" s="5">
        <f>Meta!$B$32</f>
        <v/>
      </c>
      <c r="C9" s="5">
        <f>Meta!$B$33</f>
        <v/>
      </c>
      <c r="D9" s="5">
        <f>Meta!$B$34</f>
        <v/>
      </c>
      <c r="E9" s="6">
        <f>Meta!$B$35</f>
        <v/>
      </c>
      <c r="F9" s="5">
        <f>Meta!$B$36</f>
        <v/>
      </c>
      <c r="G9" s="6">
        <f>Meta!$B$37</f>
        <v/>
      </c>
      <c r="H9" s="7">
        <f>Meta!$B$38</f>
        <v/>
      </c>
    </row>
    <row r="10">
      <c r="A10" t="inlineStr">
        <is>
          <t>Oracle</t>
        </is>
      </c>
      <c r="B10" s="5">
        <f>Oracle!$B$32</f>
        <v/>
      </c>
      <c r="C10" s="5">
        <f>Oracle!$B$33</f>
        <v/>
      </c>
      <c r="D10" s="5">
        <f>Oracle!$B$34</f>
        <v/>
      </c>
      <c r="E10" s="6">
        <f>Oracle!$B$35</f>
        <v/>
      </c>
      <c r="F10" s="5">
        <f>Oracle!$B$36</f>
        <v/>
      </c>
      <c r="G10" s="6">
        <f>Oracle!$B$37</f>
        <v/>
      </c>
      <c r="H10" s="7">
        <f>Oracle!$B$38</f>
        <v/>
      </c>
    </row>
    <row r="11">
      <c r="A11" t="inlineStr">
        <is>
          <t>SpaceX</t>
        </is>
      </c>
      <c r="B11" s="5">
        <f>SpaceX!$B$32</f>
        <v/>
      </c>
      <c r="C11" s="5">
        <f>SpaceX!$B$33</f>
        <v/>
      </c>
      <c r="D11" s="5">
        <f>SpaceX!$B$34</f>
        <v/>
      </c>
      <c r="E11" s="6">
        <f>SpaceX!$B$35</f>
        <v/>
      </c>
      <c r="F11" s="5">
        <f>SpaceX!$B$36</f>
        <v/>
      </c>
      <c r="G11" s="6">
        <f>SpaceX!$B$37</f>
        <v/>
      </c>
      <c r="H11" s="7">
        <f>SpaceX!$B$38</f>
        <v/>
      </c>
    </row>
    <row r="12">
      <c r="A12" s="8" t="inlineStr">
        <is>
          <t>TOTAL (6)</t>
        </is>
      </c>
      <c r="B12" s="9">
        <f>SUM(B6:B11)</f>
        <v/>
      </c>
      <c r="C12" s="9">
        <f>SUM(C6:C11)</f>
        <v/>
      </c>
      <c r="D12" s="9">
        <f>SUM(D6:D11)</f>
        <v/>
      </c>
      <c r="E12" s="9">
        <f>SUM(E6:E11)</f>
        <v/>
      </c>
      <c r="F12" s="9">
        <f>SUM(F6:F11)</f>
        <v/>
      </c>
      <c r="G12" s="9">
        <f>SUM(G6:G11)</f>
        <v/>
      </c>
      <c r="H12" s="10">
        <f>F12/(C12+D12)</f>
        <v/>
      </c>
    </row>
    <row r="13">
      <c r="A13" s="8" t="inlineStr">
        <is>
          <t>FY2026 (estimate)</t>
        </is>
      </c>
      <c r="E13" s="11">
        <f>SUM(Microsoft!$C$35,Alphabet!$C$35,Amazon!$C$35,Meta!$C$35,Oracle!$C$35,SpaceX!$C$35)</f>
        <v/>
      </c>
      <c r="F13" s="11">
        <f>SUM(Microsoft!$C$36,Alphabet!$C$36,Amazon!$C$36,Meta!$C$36,Oracle!$C$36,SpaceX!$C$36)</f>
        <v/>
      </c>
      <c r="G13" s="11">
        <f>SUM(Microsoft!$C$37,Alphabet!$C$37,Amazon!$C$37,Meta!$C$37,Oracle!$C$37,SpaceX!$C$37)</f>
        <v/>
      </c>
    </row>
    <row r="15">
      <c r="A15" s="1" t="inlineStr">
        <is>
          <t>SAVINGS BREAKDOWN — the spend cut, split</t>
        </is>
      </c>
      <c r="B15" s="2" t="n"/>
      <c r="C15" s="2" t="n"/>
      <c r="D15" s="2" t="n"/>
      <c r="E15" s="2" t="n"/>
      <c r="F15" s="2" t="n"/>
      <c r="G15" s="2" t="n"/>
      <c r="H15" s="2" t="n"/>
    </row>
    <row r="16">
      <c r="A16" t="inlineStr">
        <is>
          <t>Cost-weighted reduction (Amdahl)</t>
        </is>
      </c>
      <c r="B16" s="12">
        <f>Inputs!$B$20</f>
        <v/>
      </c>
      <c r="C16" t="inlineStr">
        <is>
          <t>x</t>
        </is>
      </c>
    </row>
    <row r="18">
      <c r="B18" s="8" t="inlineStr">
        <is>
          <t>Saved OPEX</t>
        </is>
      </c>
      <c r="C18" s="4" t="inlineStr">
        <is>
          <t>Avoided CAPEX (Overspend)</t>
        </is>
      </c>
      <c r="D18" s="8" t="inlineStr">
        <is>
          <t>Total</t>
        </is>
      </c>
    </row>
    <row r="19">
      <c r="A19" t="inlineStr">
        <is>
          <t>FY2025 annual ($B/yr)</t>
        </is>
      </c>
      <c r="B19" s="5">
        <f>SUM(Microsoft!B26,Alphabet!B26,Amazon!B26,Meta!B26,Oracle!B26,SpaceX!B26)/1000</f>
        <v/>
      </c>
      <c r="C19" s="5">
        <f>SUM(Microsoft!B25,Alphabet!B25,Amazon!B25,Meta!B25,Oracle!B25,SpaceX!B25)</f>
        <v/>
      </c>
      <c r="D19" s="5">
        <f>B19+C19</f>
        <v/>
      </c>
    </row>
    <row r="20">
      <c r="A20" s="8" t="inlineStr">
        <is>
          <t>FY2025 capitalized ($B)</t>
        </is>
      </c>
      <c r="B20" s="13">
        <f>B19/Inputs!$B$6</f>
        <v/>
      </c>
      <c r="C20" s="13">
        <f>C19/Inputs!$B$6</f>
        <v/>
      </c>
      <c r="D20" s="13">
        <f>B20+C20</f>
        <v/>
      </c>
    </row>
    <row r="21">
      <c r="A21" t="inlineStr">
        <is>
          <t>FY2026 annual ($B/yr)</t>
        </is>
      </c>
      <c r="B21" s="5">
        <f>SUM(Microsoft!C26,Alphabet!C26,Amazon!C26,Meta!C26,Oracle!C26,SpaceX!C26)/1000</f>
        <v/>
      </c>
      <c r="C21" s="5">
        <f>SUM(Microsoft!C25,Alphabet!C25,Amazon!C25,Meta!C25,Oracle!C25,SpaceX!C25)</f>
        <v/>
      </c>
      <c r="D21" s="5">
        <f>B21+C21</f>
        <v/>
      </c>
    </row>
    <row r="22">
      <c r="A22" s="8" t="inlineStr">
        <is>
          <t>FY2026 capitalized ($B)</t>
        </is>
      </c>
      <c r="B22" s="13">
        <f>B21/Inputs!$B$6</f>
        <v/>
      </c>
      <c r="C22" s="13">
        <f>C21/Inputs!$B$6</f>
        <v/>
      </c>
      <c r="D22" s="13">
        <f>B22+C22</f>
        <v/>
      </c>
    </row>
    <row r="23">
      <c r="A23" s="8" t="inlineStr">
        <is>
          <t>GLOBAL capitalized -- est. ($B)</t>
        </is>
      </c>
      <c r="B23" s="13">
        <f>D20/Inputs!$B$14</f>
        <v/>
      </c>
      <c r="C23" s="13">
        <f>D22/Inputs!$B$14</f>
        <v/>
      </c>
      <c r="D23" s="3" t="inlineStr">
        <is>
          <t>named-floor capitalized / named-share-of-global (Inputs B14). ESTIMATE: grosses up for other clouds, China, neoclouds, xAI, sovereign.</t>
        </is>
      </c>
    </row>
    <row r="24">
      <c r="A24" t="inlineStr">
        <is>
          <t>% reduction</t>
        </is>
      </c>
      <c r="B24" s="7">
        <f>1-1/Inputs!$B$5</f>
        <v/>
      </c>
      <c r="C24" s="7">
        <f>1-1/Inputs!$B$20</f>
        <v/>
      </c>
    </row>
    <row r="25">
      <c r="A25" s="3" t="inlineStr">
        <is>
          <t>OPEX = power saved each year (recoupable). CAPEX 'Overspend' = AI capex made unnecessary. TOGGLE: Inputs 'Datacenter scaling factor' (0 = accelerator-only/conservative; 1 = whole datacenter scales with the smaller fleet). At 0 the burn ~halves; at ~0.7 net AI hits breakeven; at 1 it flips positive. Capitalized = annual / discount rate.</t>
        </is>
      </c>
    </row>
    <row r="27">
      <c r="A27" s="1" t="inlineStr">
        <is>
          <t>TABS</t>
        </is>
      </c>
      <c r="B27" s="2" t="n"/>
      <c r="C27" s="2" t="n"/>
      <c r="D27" s="2" t="n"/>
      <c r="E27" s="2" t="n"/>
      <c r="F27" s="2" t="n"/>
      <c r="G27" s="2" t="n"/>
      <c r="H27" s="2" t="n"/>
    </row>
    <row r="28">
      <c r="A28" s="8" t="inlineStr">
        <is>
          <t>Microsoft / Alphabet / Amazon / Meta / Oracle / SpaceX</t>
        </is>
      </c>
      <c r="B28" s="3" t="inlineStr">
        <is>
          <t>one tab each: full build capex -&gt; infra -&gt; servers -&gt; accelerator -&gt; fleet/opex -&gt; value</t>
        </is>
      </c>
    </row>
    <row r="29">
      <c r="A29" s="8" t="inlineStr">
        <is>
          <t>Inputs</t>
        </is>
      </c>
      <c r="B29" s="3" t="inlineStr">
        <is>
          <t>global assumptions + the reduction engine (cost-weighted factor)</t>
        </is>
      </c>
    </row>
    <row r="30">
      <c r="A30" s="8" t="inlineStr">
        <is>
          <t>Sensitivity</t>
        </is>
      </c>
      <c r="B30" s="3" t="inlineStr">
        <is>
          <t>SpaceX value across reduction tiers (10x/30x/100x/cost-weighted)</t>
        </is>
      </c>
    </row>
    <row r="31">
      <c r="A31" s="8" t="inlineStr">
        <is>
          <t>CostLadder</t>
        </is>
      </c>
      <c r="B31" s="3" t="inlineStr">
        <is>
          <t>own-silicon vs buy-NVIDIA vs rent $/GPU-hr</t>
        </is>
      </c>
    </row>
    <row r="32">
      <c r="A32" s="8" t="inlineStr">
        <is>
          <t>Evidence</t>
        </is>
      </c>
      <c r="B32" s="3" t="inlineStr">
        <is>
          <t>BOM cost split, accelerator-share data, own-silicon TCO, filing top-lines</t>
        </is>
      </c>
    </row>
    <row r="33">
      <c r="A33" s="8" t="inlineStr">
        <is>
          <t>Methodology</t>
        </is>
      </c>
      <c r="B33" s="3" t="inlineStr">
        <is>
          <t>step-by-step logic, caveats, sources</t>
        </is>
      </c>
    </row>
    <row r="35">
      <c r="A35" s="8" t="inlineStr">
        <is>
          <t>Legend: yellow = assumption / lever (each maps to a slider in the Streamlit app)  ·  green = disclosed filing or market data  ·  blue = derived formula.</t>
        </is>
      </c>
    </row>
  </sheetData>
  <mergeCells count="9">
    <mergeCell ref="B32:H32"/>
    <mergeCell ref="A35:H35"/>
    <mergeCell ref="A25:H25"/>
    <mergeCell ref="A2:H2"/>
    <mergeCell ref="B31:H31"/>
    <mergeCell ref="B30:H30"/>
    <mergeCell ref="B29:H29"/>
    <mergeCell ref="B33:H33"/>
    <mergeCell ref="B28:H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54" customWidth="1" min="4" max="4"/>
  </cols>
  <sheetData>
    <row r="1">
      <c r="A1" s="1" t="inlineStr">
        <is>
          <t>Microsoft — accelerator capex &amp; value (FY2025 actual + FY2026 estimate)</t>
        </is>
      </c>
      <c r="B1" s="2" t="n"/>
      <c r="C1" s="2" t="n"/>
      <c r="D1" s="2" t="n"/>
    </row>
    <row r="2">
      <c r="A2" s="8" t="inlineStr">
        <is>
          <t>Metric</t>
        </is>
      </c>
      <c r="B2" s="8" t="inlineStr">
        <is>
          <t>FY2025</t>
        </is>
      </c>
      <c r="C2" s="8" t="inlineStr">
        <is>
          <t>FY2026</t>
        </is>
      </c>
      <c r="D2" s="8" t="inlineStr">
        <is>
          <t>basis / source</t>
        </is>
      </c>
    </row>
    <row r="3">
      <c r="A3" t="inlineStr">
        <is>
          <t>Total capex ($B)</t>
        </is>
      </c>
      <c r="B3" s="14" t="n">
        <v>88</v>
      </c>
      <c r="C3" s="15" t="n">
        <v>190</v>
      </c>
      <c r="D3" s="3" t="inlineStr">
        <is>
          <t>FY25 capex incl leases ~$88B [DISCLOSED proxy]; FY26 ~$190B CY26 guide (Jul'26 restated to ~$175B capex+finance-leases on an accounting change -- the gross guide is kept here). Short-lived 'half'-&gt;'two-thirds' (CFO). Accel ~75% [BOM]. AI rev $37B run-rate (Q3 FY26).</t>
        </is>
      </c>
    </row>
    <row r="4">
      <c r="A4" t="inlineStr">
        <is>
          <t>Infra / data-center share</t>
        </is>
      </c>
      <c r="B4" s="16" t="n">
        <v>1</v>
      </c>
      <c r="C4" s="16" t="n">
        <v>1</v>
      </c>
      <c r="D4" s="3" t="inlineStr">
        <is>
          <t>strips non-AI (Amazon = AWS only)</t>
        </is>
      </c>
    </row>
    <row r="5">
      <c r="A5" t="inlineStr">
        <is>
          <t>Server / short-lived share</t>
        </is>
      </c>
      <c r="B5" s="16" t="n">
        <v>0.5</v>
      </c>
      <c r="C5" s="16" t="n">
        <v>0.67</v>
      </c>
      <c r="D5" s="3" t="inlineStr">
        <is>
          <t>CFO-disclosed (MSFT rose 50%-&gt;67%)</t>
        </is>
      </c>
    </row>
    <row r="6">
      <c r="A6" t="inlineStr">
        <is>
          <t>Accelerator share within servers</t>
        </is>
      </c>
      <c r="B6" s="16" t="n">
        <v>0.75</v>
      </c>
      <c r="C6" s="16" t="n">
        <v>0.75</v>
      </c>
      <c r="D6" s="3" t="inlineStr">
        <is>
          <t>from BOM teardowns (~67-80%)</t>
        </is>
      </c>
    </row>
    <row r="7">
      <c r="A7" t="inlineStr">
        <is>
          <t>Market cap ($B, approx)</t>
        </is>
      </c>
      <c r="B7" s="17" t="n">
        <v>3700</v>
      </c>
      <c r="D7" s="3" t="inlineStr">
        <is>
          <t>approximate June 2026 market data -- edit</t>
        </is>
      </c>
    </row>
    <row r="9">
      <c r="A9" s="1" t="inlineStr">
        <is>
          <t>DERIVATION</t>
        </is>
      </c>
      <c r="B9" s="2" t="n"/>
      <c r="C9" s="2" t="n"/>
      <c r="D9" s="2" t="n"/>
    </row>
    <row r="10">
      <c r="A10" t="inlineStr">
        <is>
          <t>AI-infra capex ($B)</t>
        </is>
      </c>
      <c r="B10" s="5">
        <f>B3*B4</f>
        <v/>
      </c>
      <c r="C10" s="5">
        <f>C3*C4</f>
        <v/>
      </c>
      <c r="D10" s="3" t="inlineStr">
        <is>
          <t>total x infra share</t>
        </is>
      </c>
    </row>
    <row r="11">
      <c r="A11" t="inlineStr">
        <is>
          <t>Server bucket ($B)</t>
        </is>
      </c>
      <c r="B11" s="5">
        <f>B10*B5</f>
        <v/>
      </c>
      <c r="C11" s="5">
        <f>C10*C5</f>
        <v/>
      </c>
      <c r="D11" s="3" t="inlineStr">
        <is>
          <t>infra x server share</t>
        </is>
      </c>
    </row>
    <row r="12">
      <c r="A12" s="8" t="inlineStr">
        <is>
          <t>ACCELERATOR capex ($B)</t>
        </is>
      </c>
      <c r="B12" s="6">
        <f>B11*B6</f>
        <v/>
      </c>
      <c r="C12" s="6">
        <f>C11*C6</f>
        <v/>
      </c>
      <c r="D12" s="3" t="inlineStr">
        <is>
          <t>server x accel share</t>
        </is>
      </c>
    </row>
    <row r="13">
      <c r="A13" t="inlineStr">
        <is>
          <t>Accel % of total capex</t>
        </is>
      </c>
      <c r="B13" s="7">
        <f>B12/B3</f>
        <v/>
      </c>
      <c r="C13" s="7">
        <f>C12/C3</f>
        <v/>
      </c>
      <c r="D13" s="3" t="inlineStr">
        <is>
          <t>varies across companies</t>
        </is>
      </c>
    </row>
    <row r="15">
      <c r="A15" s="1" t="inlineStr">
        <is>
          <t>FLEET &amp; OPERATING COST (from accelerator capex)</t>
        </is>
      </c>
      <c r="B15" s="2" t="n"/>
      <c r="C15" s="2" t="n"/>
      <c r="D15" s="2" t="n"/>
    </row>
    <row r="16">
      <c r="A16" t="inlineStr">
        <is>
          <t>Fleet size (GPU-equiv)</t>
        </is>
      </c>
      <c r="B16" s="18">
        <f>B12*1000000000/Inputs!$B$7</f>
        <v/>
      </c>
      <c r="C16" s="18">
        <f>C12*1000000000/Inputs!$B$7</f>
        <v/>
      </c>
      <c r="D16" s="3" t="inlineStr">
        <is>
          <t>accel capex / $ per GPU</t>
        </is>
      </c>
    </row>
    <row r="17">
      <c r="A17" t="inlineStr">
        <is>
          <t>Total wall power (MW)</t>
        </is>
      </c>
      <c r="B17" s="18">
        <f>B16*Inputs!$B$8/1000</f>
        <v/>
      </c>
      <c r="C17" s="18">
        <f>C16*Inputs!$B$8/1000</f>
        <v/>
      </c>
      <c r="D17" s="3" t="inlineStr">
        <is>
          <t>GPUs x kW</t>
        </is>
      </c>
    </row>
    <row r="18">
      <c r="A18" t="inlineStr">
        <is>
          <t>Daily energy (MWh)</t>
        </is>
      </c>
      <c r="B18" s="18">
        <f>B17*24</f>
        <v/>
      </c>
      <c r="C18" s="18">
        <f>C17*24</f>
        <v/>
      </c>
      <c r="D18" s="3" t="inlineStr"/>
    </row>
    <row r="19">
      <c r="A19" t="inlineStr">
        <is>
          <t>Daily all-in opex ($/day)</t>
        </is>
      </c>
      <c r="B19" s="18">
        <f>B18*1000*Inputs!$B$9*(1+Inputs!$B$10)</f>
        <v/>
      </c>
      <c r="C19" s="18">
        <f>C18*1000*Inputs!$B$9*(1+Inputs!$B$10)</f>
        <v/>
      </c>
      <c r="D19" s="3" t="inlineStr">
        <is>
          <t>MWh x rate x (1+overhead)</t>
        </is>
      </c>
    </row>
    <row r="20">
      <c r="A20" t="inlineStr">
        <is>
          <t>Annual opex ($M)</t>
        </is>
      </c>
      <c r="B20" s="5">
        <f>B19*365/1000000</f>
        <v/>
      </c>
      <c r="C20" s="5">
        <f>C19*365/1000000</f>
        <v/>
      </c>
      <c r="D20" s="3" t="inlineStr"/>
    </row>
    <row r="21">
      <c r="A21" t="inlineStr">
        <is>
          <t>Lifetime opex ($B)</t>
        </is>
      </c>
      <c r="B21" s="19">
        <f>B20*Inputs!$B$11/1000</f>
        <v/>
      </c>
      <c r="C21" s="19">
        <f>C20*Inputs!$B$11/1000</f>
        <v/>
      </c>
      <c r="D21" s="3" t="inlineStr"/>
    </row>
    <row r="23">
      <c r="A23" s="1" t="inlineStr">
        <is>
          <t>EFFICIENT VERSION &amp; VALUE</t>
        </is>
      </c>
      <c r="B23" s="2" t="n"/>
      <c r="C23" s="2" t="n"/>
      <c r="D23" s="2" t="n"/>
    </row>
    <row r="24">
      <c r="A24" t="inlineStr">
        <is>
          <t>Efficient AI capex ($B)</t>
        </is>
      </c>
      <c r="B24" s="5">
        <f>B10-B25</f>
        <v/>
      </c>
      <c r="C24" s="5">
        <f>C10-C25</f>
        <v/>
      </c>
      <c r="D24" s="3" t="inlineStr">
        <is>
          <t>AI capex - avoided</t>
        </is>
      </c>
    </row>
    <row r="25">
      <c r="A25" t="inlineStr">
        <is>
          <t>Capex avoided/yr ($B)</t>
        </is>
      </c>
      <c r="B25" s="5">
        <f>(B12+(B10-B12)*Inputs!$B$13)*(1-1/Inputs!$B$20)</f>
        <v/>
      </c>
      <c r="C25" s="5">
        <f>(C12+(C10-C12)*Inputs!$B$13)*(1-1/Inputs!$B$20)</f>
        <v/>
      </c>
      <c r="D25" s="3" t="inlineStr">
        <is>
          <t>accel + (datacenter x dc-scale), all x (1-1/reduction)</t>
        </is>
      </c>
    </row>
    <row r="26">
      <c r="A26" t="inlineStr">
        <is>
          <t>Annual opex savings ($M)</t>
        </is>
      </c>
      <c r="B26" s="5">
        <f>B20*(1-1/Inputs!$B$5)</f>
        <v/>
      </c>
      <c r="C26" s="5">
        <f>C20*(1-1/Inputs!$B$5)</f>
        <v/>
      </c>
      <c r="D26" s="3" t="inlineStr"/>
    </row>
    <row r="27">
      <c r="A27" t="inlineStr">
        <is>
          <t>Sustained annual benefit ($B/yr)</t>
        </is>
      </c>
      <c r="B27" s="20">
        <f>B25+B26/1000</f>
        <v/>
      </c>
      <c r="C27" s="20">
        <f>C25+C26/1000</f>
        <v/>
      </c>
      <c r="D27" s="3" t="inlineStr">
        <is>
          <t>avoided + opex savings</t>
        </is>
      </c>
    </row>
    <row r="28">
      <c r="A28" s="8" t="inlineStr">
        <is>
          <t>Capitalized value ($B)</t>
        </is>
      </c>
      <c r="B28" s="13">
        <f>B27/Inputs!$B$6</f>
        <v/>
      </c>
      <c r="C28" s="13">
        <f>C27/Inputs!$B$6</f>
        <v/>
      </c>
      <c r="D28" s="3" t="inlineStr">
        <is>
          <t>benefit / discount rate</t>
        </is>
      </c>
    </row>
    <row r="29">
      <c r="A29" t="inlineStr">
        <is>
          <t>% of market cap</t>
        </is>
      </c>
      <c r="B29" s="21">
        <f>B28/$B$7</f>
        <v/>
      </c>
      <c r="C29" s="21">
        <f>C28/$B$7</f>
        <v/>
      </c>
      <c r="D29" s="3" t="inlineStr"/>
    </row>
    <row r="31">
      <c r="A31" s="1" t="inlineStr">
        <is>
          <t>AI ECONOMICS (cash basis: AI revenue - AI capex - AI opex)</t>
        </is>
      </c>
      <c r="B31" s="2" t="n"/>
      <c r="C31" s="2" t="n"/>
      <c r="D31" s="2" t="n"/>
    </row>
    <row r="32">
      <c r="A32" t="inlineStr">
        <is>
          <t>AI revenue ($B)</t>
        </is>
      </c>
      <c r="B32" s="15" t="n">
        <v>30</v>
      </c>
      <c r="C32" s="15" t="n">
        <v>50</v>
      </c>
      <c r="D32" s="3" t="inlineStr">
        <is>
          <t>ESTIMATE (see Methodology). MSFT $37B &amp; Amazon $15B run-rates disclosed; Google/Meta/SpaceX estimated.</t>
        </is>
      </c>
    </row>
    <row r="33">
      <c r="A33" t="inlineStr">
        <is>
          <t>AI capex ($B)</t>
        </is>
      </c>
      <c r="B33" s="5">
        <f>B10</f>
        <v/>
      </c>
      <c r="C33" s="5">
        <f>C10</f>
        <v/>
      </c>
      <c r="D33" s="3" t="inlineStr">
        <is>
          <t>AI-infra capex (full: accel + buildings + power + net)</t>
        </is>
      </c>
    </row>
    <row r="34">
      <c r="A34" t="inlineStr">
        <is>
          <t>AI opex ($B)</t>
        </is>
      </c>
      <c r="B34" s="5">
        <f>B20/1000</f>
        <v/>
      </c>
      <c r="C34" s="5">
        <f>C20/1000</f>
        <v/>
      </c>
      <c r="D34" s="3" t="inlineStr">
        <is>
          <t>annual power/operating</t>
        </is>
      </c>
    </row>
    <row r="35">
      <c r="A35" s="8" t="inlineStr">
        <is>
          <t>Net AI NOW ($B)</t>
        </is>
      </c>
      <c r="B35" s="6">
        <f>B32-B33-B34</f>
        <v/>
      </c>
      <c r="C35" s="6">
        <f>C32-C33-C34</f>
        <v/>
      </c>
      <c r="D35" s="3" t="inlineStr">
        <is>
          <t>revenue - capex - opex (cash burn)</t>
        </is>
      </c>
    </row>
    <row r="36">
      <c r="A36" t="inlineStr">
        <is>
          <t>Spend cut, our arch ($B)</t>
        </is>
      </c>
      <c r="B36" s="5">
        <f>B27</f>
        <v/>
      </c>
      <c r="C36" s="5">
        <f>C27</f>
        <v/>
      </c>
      <c r="D36" s="3" t="inlineStr">
        <is>
          <t>accel capex avoided + opex saved</t>
        </is>
      </c>
    </row>
    <row r="37">
      <c r="A37" s="8" t="inlineStr">
        <is>
          <t>Net AI WITH our arch ($B)</t>
        </is>
      </c>
      <c r="B37" s="6">
        <f>B35+B36</f>
        <v/>
      </c>
      <c r="C37" s="6">
        <f>C35+C36</f>
        <v/>
      </c>
      <c r="D37" s="3" t="inlineStr">
        <is>
          <t>Net AI now + spend cut</t>
        </is>
      </c>
    </row>
    <row r="38">
      <c r="A38" t="inlineStr">
        <is>
          <t>% AI spend reduction</t>
        </is>
      </c>
      <c r="B38" s="7">
        <f>B36/(B33+B34)</f>
        <v/>
      </c>
      <c r="C38" s="7">
        <f>C36/(C33+C34)</f>
        <v/>
      </c>
      <c r="D38" s="3" t="inlineStr">
        <is>
          <t>spend cut / total AI spend (accel-only; upside if DC scales)</t>
        </is>
      </c>
    </row>
    <row r="40">
      <c r="A40" s="1" t="inlineStr">
        <is>
          <t>SOURCES &amp; REFERENCES</t>
        </is>
      </c>
      <c r="B40" s="2" t="n"/>
      <c r="C40" s="2" t="n"/>
      <c r="D40" s="2" t="n"/>
    </row>
    <row r="41">
      <c r="A41" s="3" t="inlineStr">
        <is>
          <t>FY25 capex &gt;$88B incl leases; server life 2-6yr (FY25 10-K)</t>
        </is>
      </c>
      <c r="B41" s="22" t="inlineStr">
        <is>
          <t>https://www.sec.gov/Archives/edgar/data/789019/000095017025100235/msft-20250630.htm</t>
        </is>
      </c>
    </row>
    <row r="42">
      <c r="A42" s="3" t="inlineStr">
        <is>
          <t>FY26 ~$190B guide; 'two-thirds' short-lived = GPUs+CPUs (Q3 FY26 call)</t>
        </is>
      </c>
      <c r="B42" s="22" t="inlineStr">
        <is>
          <t>https://www.fool.com/earnings/call-transcripts/2026/04/29/microsoft-msft-q3-2026-earnings-transcript/</t>
        </is>
      </c>
    </row>
    <row r="43">
      <c r="A43" s="3" t="inlineStr">
        <is>
          <t>AI revenue $37B annual run-rate (Q3 FY26)</t>
        </is>
      </c>
      <c r="B43" s="22" t="inlineStr">
        <is>
          <t>https://news.alphastreet.com/microsoft-msft-q3-fy2026-azure-hits-40-growth-as-ai-business-reaches-37-billion-run-rate/</t>
        </is>
      </c>
    </row>
    <row r="44">
      <c r="A44" s="3" t="inlineStr">
        <is>
          <t>~485k Hopper GPUs / ~$31B in 2024 (Omdia) - cross-checks accel capex</t>
        </is>
      </c>
      <c r="B44" s="22" t="inlineStr">
        <is>
          <t>https://techcrunch.com/2024/12/18/microsoft-bought-nearly-500000-nvidia-hopper-chips-this-year/</t>
        </is>
      </c>
    </row>
  </sheetData>
  <mergeCells count="4">
    <mergeCell ref="B42:D42"/>
    <mergeCell ref="B41:D41"/>
    <mergeCell ref="B44:D44"/>
    <mergeCell ref="B43:D43"/>
  </mergeCells>
  <hyperlinks>
    <hyperlink xmlns:r="http://schemas.openxmlformats.org/officeDocument/2006/relationships" ref="B41" r:id="rId1"/>
    <hyperlink xmlns:r="http://schemas.openxmlformats.org/officeDocument/2006/relationships" ref="B42" r:id="rId2"/>
    <hyperlink xmlns:r="http://schemas.openxmlformats.org/officeDocument/2006/relationships" ref="B43" r:id="rId3"/>
    <hyperlink xmlns:r="http://schemas.openxmlformats.org/officeDocument/2006/relationships" ref="B44" r:id="rId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54" customWidth="1" min="4" max="4"/>
  </cols>
  <sheetData>
    <row r="1">
      <c r="A1" s="1" t="inlineStr">
        <is>
          <t>Alphabet — accelerator capex &amp; value (FY2025 actual + FY2026 estimate)</t>
        </is>
      </c>
      <c r="B1" s="2" t="n"/>
      <c r="C1" s="2" t="n"/>
      <c r="D1" s="2" t="n"/>
    </row>
    <row r="2">
      <c r="A2" s="8" t="inlineStr">
        <is>
          <t>Metric</t>
        </is>
      </c>
      <c r="B2" s="8" t="inlineStr">
        <is>
          <t>FY2025</t>
        </is>
      </c>
      <c r="C2" s="8" t="inlineStr">
        <is>
          <t>FY2026</t>
        </is>
      </c>
      <c r="D2" s="8" t="inlineStr">
        <is>
          <t>basis / source</t>
        </is>
      </c>
    </row>
    <row r="3">
      <c r="A3" t="inlineStr">
        <is>
          <t>Total capex ($B)</t>
        </is>
      </c>
      <c r="B3" s="14" t="n">
        <v>91.40000000000001</v>
      </c>
      <c r="C3" s="15" t="n">
        <v>185</v>
      </c>
      <c r="D3" s="3" t="inlineStr">
        <is>
          <t>FY25 capex $91.4B [DISCLOSED]; FY26 $180-190B guide. 60% servers / 40% DC (CFO). Accel ~67% [BOM]. AI rev ESTIMATE (Cloud $70B run-rate, AI subset).</t>
        </is>
      </c>
    </row>
    <row r="4">
      <c r="A4" t="inlineStr">
        <is>
          <t>Infra / data-center share</t>
        </is>
      </c>
      <c r="B4" s="16" t="n">
        <v>1</v>
      </c>
      <c r="C4" s="16" t="n">
        <v>1</v>
      </c>
      <c r="D4" s="3" t="inlineStr">
        <is>
          <t>strips non-AI (Amazon = AWS only)</t>
        </is>
      </c>
    </row>
    <row r="5">
      <c r="A5" t="inlineStr">
        <is>
          <t>Server / short-lived share</t>
        </is>
      </c>
      <c r="B5" s="16" t="n">
        <v>0.6</v>
      </c>
      <c r="C5" s="16" t="n">
        <v>0.6</v>
      </c>
      <c r="D5" s="3" t="inlineStr">
        <is>
          <t>CFO-disclosed (MSFT rose 50%-&gt;67%)</t>
        </is>
      </c>
    </row>
    <row r="6">
      <c r="A6" t="inlineStr">
        <is>
          <t>Accelerator share within servers</t>
        </is>
      </c>
      <c r="B6" s="16" t="n">
        <v>0.67</v>
      </c>
      <c r="C6" s="16" t="n">
        <v>0.67</v>
      </c>
      <c r="D6" s="3" t="inlineStr">
        <is>
          <t>from BOM teardowns (~67-80%)</t>
        </is>
      </c>
    </row>
    <row r="7">
      <c r="A7" t="inlineStr">
        <is>
          <t>Market cap ($B, approx)</t>
        </is>
      </c>
      <c r="B7" s="17" t="n">
        <v>4250</v>
      </c>
      <c r="D7" s="3" t="inlineStr">
        <is>
          <t>approximate June 2026 market data -- edit</t>
        </is>
      </c>
    </row>
    <row r="9">
      <c r="A9" s="1" t="inlineStr">
        <is>
          <t>DERIVATION</t>
        </is>
      </c>
      <c r="B9" s="2" t="n"/>
      <c r="C9" s="2" t="n"/>
      <c r="D9" s="2" t="n"/>
    </row>
    <row r="10">
      <c r="A10" t="inlineStr">
        <is>
          <t>AI-infra capex ($B)</t>
        </is>
      </c>
      <c r="B10" s="5">
        <f>B3*B4</f>
        <v/>
      </c>
      <c r="C10" s="5">
        <f>C3*C4</f>
        <v/>
      </c>
      <c r="D10" s="3" t="inlineStr">
        <is>
          <t>total x infra share</t>
        </is>
      </c>
    </row>
    <row r="11">
      <c r="A11" t="inlineStr">
        <is>
          <t>Server bucket ($B)</t>
        </is>
      </c>
      <c r="B11" s="5">
        <f>B10*B5</f>
        <v/>
      </c>
      <c r="C11" s="5">
        <f>C10*C5</f>
        <v/>
      </c>
      <c r="D11" s="3" t="inlineStr">
        <is>
          <t>infra x server share</t>
        </is>
      </c>
    </row>
    <row r="12">
      <c r="A12" s="8" t="inlineStr">
        <is>
          <t>ACCELERATOR capex ($B)</t>
        </is>
      </c>
      <c r="B12" s="6">
        <f>B11*B6</f>
        <v/>
      </c>
      <c r="C12" s="6">
        <f>C11*C6</f>
        <v/>
      </c>
      <c r="D12" s="3" t="inlineStr">
        <is>
          <t>server x accel share</t>
        </is>
      </c>
    </row>
    <row r="13">
      <c r="A13" t="inlineStr">
        <is>
          <t>Accel % of total capex</t>
        </is>
      </c>
      <c r="B13" s="7">
        <f>B12/B3</f>
        <v/>
      </c>
      <c r="C13" s="7">
        <f>C12/C3</f>
        <v/>
      </c>
      <c r="D13" s="3" t="inlineStr">
        <is>
          <t>varies across companies</t>
        </is>
      </c>
    </row>
    <row r="15">
      <c r="A15" s="1" t="inlineStr">
        <is>
          <t>FLEET &amp; OPERATING COST (from accelerator capex)</t>
        </is>
      </c>
      <c r="B15" s="2" t="n"/>
      <c r="C15" s="2" t="n"/>
      <c r="D15" s="2" t="n"/>
    </row>
    <row r="16">
      <c r="A16" t="inlineStr">
        <is>
          <t>Fleet size (GPU-equiv)</t>
        </is>
      </c>
      <c r="B16" s="18">
        <f>B12*1000000000/Inputs!$B$7</f>
        <v/>
      </c>
      <c r="C16" s="18">
        <f>C12*1000000000/Inputs!$B$7</f>
        <v/>
      </c>
      <c r="D16" s="3" t="inlineStr">
        <is>
          <t>accel capex / $ per GPU</t>
        </is>
      </c>
    </row>
    <row r="17">
      <c r="A17" t="inlineStr">
        <is>
          <t>Total wall power (MW)</t>
        </is>
      </c>
      <c r="B17" s="18">
        <f>B16*Inputs!$B$8/1000</f>
        <v/>
      </c>
      <c r="C17" s="18">
        <f>C16*Inputs!$B$8/1000</f>
        <v/>
      </c>
      <c r="D17" s="3" t="inlineStr">
        <is>
          <t>GPUs x kW</t>
        </is>
      </c>
    </row>
    <row r="18">
      <c r="A18" t="inlineStr">
        <is>
          <t>Daily energy (MWh)</t>
        </is>
      </c>
      <c r="B18" s="18">
        <f>B17*24</f>
        <v/>
      </c>
      <c r="C18" s="18">
        <f>C17*24</f>
        <v/>
      </c>
      <c r="D18" s="3" t="inlineStr"/>
    </row>
    <row r="19">
      <c r="A19" t="inlineStr">
        <is>
          <t>Daily all-in opex ($/day)</t>
        </is>
      </c>
      <c r="B19" s="18">
        <f>B18*1000*Inputs!$B$9*(1+Inputs!$B$10)</f>
        <v/>
      </c>
      <c r="C19" s="18">
        <f>C18*1000*Inputs!$B$9*(1+Inputs!$B$10)</f>
        <v/>
      </c>
      <c r="D19" s="3" t="inlineStr">
        <is>
          <t>MWh x rate x (1+overhead)</t>
        </is>
      </c>
    </row>
    <row r="20">
      <c r="A20" t="inlineStr">
        <is>
          <t>Annual opex ($M)</t>
        </is>
      </c>
      <c r="B20" s="5">
        <f>B19*365/1000000</f>
        <v/>
      </c>
      <c r="C20" s="5">
        <f>C19*365/1000000</f>
        <v/>
      </c>
      <c r="D20" s="3" t="inlineStr"/>
    </row>
    <row r="21">
      <c r="A21" t="inlineStr">
        <is>
          <t>Lifetime opex ($B)</t>
        </is>
      </c>
      <c r="B21" s="19">
        <f>B20*Inputs!$B$11/1000</f>
        <v/>
      </c>
      <c r="C21" s="19">
        <f>C20*Inputs!$B$11/1000</f>
        <v/>
      </c>
      <c r="D21" s="3" t="inlineStr"/>
    </row>
    <row r="23">
      <c r="A23" s="1" t="inlineStr">
        <is>
          <t>EFFICIENT VERSION &amp; VALUE</t>
        </is>
      </c>
      <c r="B23" s="2" t="n"/>
      <c r="C23" s="2" t="n"/>
      <c r="D23" s="2" t="n"/>
    </row>
    <row r="24">
      <c r="A24" t="inlineStr">
        <is>
          <t>Efficient AI capex ($B)</t>
        </is>
      </c>
      <c r="B24" s="5">
        <f>B10-B25</f>
        <v/>
      </c>
      <c r="C24" s="5">
        <f>C10-C25</f>
        <v/>
      </c>
      <c r="D24" s="3" t="inlineStr">
        <is>
          <t>AI capex - avoided</t>
        </is>
      </c>
    </row>
    <row r="25">
      <c r="A25" t="inlineStr">
        <is>
          <t>Capex avoided/yr ($B)</t>
        </is>
      </c>
      <c r="B25" s="5">
        <f>(B12+(B10-B12)*Inputs!$B$13)*(1-1/Inputs!$B$20)</f>
        <v/>
      </c>
      <c r="C25" s="5">
        <f>(C12+(C10-C12)*Inputs!$B$13)*(1-1/Inputs!$B$20)</f>
        <v/>
      </c>
      <c r="D25" s="3" t="inlineStr">
        <is>
          <t>accel + (datacenter x dc-scale), all x (1-1/reduction)</t>
        </is>
      </c>
    </row>
    <row r="26">
      <c r="A26" t="inlineStr">
        <is>
          <t>Annual opex savings ($M)</t>
        </is>
      </c>
      <c r="B26" s="5">
        <f>B20*(1-1/Inputs!$B$5)</f>
        <v/>
      </c>
      <c r="C26" s="5">
        <f>C20*(1-1/Inputs!$B$5)</f>
        <v/>
      </c>
      <c r="D26" s="3" t="inlineStr"/>
    </row>
    <row r="27">
      <c r="A27" t="inlineStr">
        <is>
          <t>Sustained annual benefit ($B/yr)</t>
        </is>
      </c>
      <c r="B27" s="20">
        <f>B25+B26/1000</f>
        <v/>
      </c>
      <c r="C27" s="20">
        <f>C25+C26/1000</f>
        <v/>
      </c>
      <c r="D27" s="3" t="inlineStr">
        <is>
          <t>avoided + opex savings</t>
        </is>
      </c>
    </row>
    <row r="28">
      <c r="A28" s="8" t="inlineStr">
        <is>
          <t>Capitalized value ($B)</t>
        </is>
      </c>
      <c r="B28" s="13">
        <f>B27/Inputs!$B$6</f>
        <v/>
      </c>
      <c r="C28" s="13">
        <f>C27/Inputs!$B$6</f>
        <v/>
      </c>
      <c r="D28" s="3" t="inlineStr">
        <is>
          <t>benefit / discount rate</t>
        </is>
      </c>
    </row>
    <row r="29">
      <c r="A29" t="inlineStr">
        <is>
          <t>% of market cap</t>
        </is>
      </c>
      <c r="B29" s="21">
        <f>B28/$B$7</f>
        <v/>
      </c>
      <c r="C29" s="21">
        <f>C28/$B$7</f>
        <v/>
      </c>
      <c r="D29" s="3" t="inlineStr"/>
    </row>
    <row r="31">
      <c r="A31" s="1" t="inlineStr">
        <is>
          <t>AI ECONOMICS (cash basis: AI revenue - AI capex - AI opex)</t>
        </is>
      </c>
      <c r="B31" s="2" t="n"/>
      <c r="C31" s="2" t="n"/>
      <c r="D31" s="2" t="n"/>
    </row>
    <row r="32">
      <c r="A32" t="inlineStr">
        <is>
          <t>AI revenue ($B)</t>
        </is>
      </c>
      <c r="B32" s="15" t="n">
        <v>25</v>
      </c>
      <c r="C32" s="15" t="n">
        <v>40</v>
      </c>
      <c r="D32" s="3" t="inlineStr">
        <is>
          <t>ESTIMATE (see Methodology). MSFT $37B &amp; Amazon $15B run-rates disclosed; Google/Meta/SpaceX estimated.</t>
        </is>
      </c>
    </row>
    <row r="33">
      <c r="A33" t="inlineStr">
        <is>
          <t>AI capex ($B)</t>
        </is>
      </c>
      <c r="B33" s="5">
        <f>B10</f>
        <v/>
      </c>
      <c r="C33" s="5">
        <f>C10</f>
        <v/>
      </c>
      <c r="D33" s="3" t="inlineStr">
        <is>
          <t>AI-infra capex (full: accel + buildings + power + net)</t>
        </is>
      </c>
    </row>
    <row r="34">
      <c r="A34" t="inlineStr">
        <is>
          <t>AI opex ($B)</t>
        </is>
      </c>
      <c r="B34" s="5">
        <f>B20/1000</f>
        <v/>
      </c>
      <c r="C34" s="5">
        <f>C20/1000</f>
        <v/>
      </c>
      <c r="D34" s="3" t="inlineStr">
        <is>
          <t>annual power/operating</t>
        </is>
      </c>
    </row>
    <row r="35">
      <c r="A35" s="8" t="inlineStr">
        <is>
          <t>Net AI NOW ($B)</t>
        </is>
      </c>
      <c r="B35" s="6">
        <f>B32-B33-B34</f>
        <v/>
      </c>
      <c r="C35" s="6">
        <f>C32-C33-C34</f>
        <v/>
      </c>
      <c r="D35" s="3" t="inlineStr">
        <is>
          <t>revenue - capex - opex (cash burn)</t>
        </is>
      </c>
    </row>
    <row r="36">
      <c r="A36" t="inlineStr">
        <is>
          <t>Spend cut, our arch ($B)</t>
        </is>
      </c>
      <c r="B36" s="5">
        <f>B27</f>
        <v/>
      </c>
      <c r="C36" s="5">
        <f>C27</f>
        <v/>
      </c>
      <c r="D36" s="3" t="inlineStr">
        <is>
          <t>accel capex avoided + opex saved</t>
        </is>
      </c>
    </row>
    <row r="37">
      <c r="A37" s="8" t="inlineStr">
        <is>
          <t>Net AI WITH our arch ($B)</t>
        </is>
      </c>
      <c r="B37" s="6">
        <f>B35+B36</f>
        <v/>
      </c>
      <c r="C37" s="6">
        <f>C35+C36</f>
        <v/>
      </c>
      <c r="D37" s="3" t="inlineStr">
        <is>
          <t>Net AI now + spend cut</t>
        </is>
      </c>
    </row>
    <row r="38">
      <c r="A38" t="inlineStr">
        <is>
          <t>% AI spend reduction</t>
        </is>
      </c>
      <c r="B38" s="7">
        <f>B36/(B33+B34)</f>
        <v/>
      </c>
      <c r="C38" s="7">
        <f>C36/(C33+C34)</f>
        <v/>
      </c>
      <c r="D38" s="3" t="inlineStr">
        <is>
          <t>spend cut / total AI spend (accel-only; upside if DC scales)</t>
        </is>
      </c>
    </row>
    <row r="40">
      <c r="A40" s="1" t="inlineStr">
        <is>
          <t>SOURCES &amp; REFERENCES</t>
        </is>
      </c>
      <c r="B40" s="2" t="n"/>
      <c r="C40" s="2" t="n"/>
      <c r="D40" s="2" t="n"/>
    </row>
    <row r="41">
      <c r="A41" s="3" t="inlineStr">
        <is>
          <t>FY25 capex $91.4B; CFO 60% servers / 40% DC+net (Q4'25 call)</t>
        </is>
      </c>
      <c r="B41" s="22" t="inlineStr">
        <is>
          <t>https://www.fool.com/earnings/call-transcripts/2026/02/04/alphabet-googl-q4-2025-earnings-call-transcript/</t>
        </is>
      </c>
    </row>
    <row r="42">
      <c r="A42" s="3" t="inlineStr">
        <is>
          <t>FY26 guide $180-190B (Q1'26)</t>
        </is>
      </c>
      <c r="B42" s="22" t="inlineStr">
        <is>
          <t>https://www.cnbc.com/2026/04/29/alphabet-googl-q1-2026-earnings.html</t>
        </is>
      </c>
    </row>
    <row r="43">
      <c r="A43" s="3" t="inlineStr">
        <is>
          <t>Server life 6yr; TPU at-cost TCO 20-50% below NVIDIA (SemiAnalysis)</t>
        </is>
      </c>
      <c r="B43" s="22" t="inlineStr">
        <is>
          <t>https://newsletter.semianalysis.com/p/tpuv7-google-takes-a-swing-at-the</t>
        </is>
      </c>
    </row>
  </sheetData>
  <mergeCells count="3">
    <mergeCell ref="B42:D42"/>
    <mergeCell ref="B41:D41"/>
    <mergeCell ref="B43:D43"/>
  </mergeCells>
  <hyperlinks>
    <hyperlink xmlns:r="http://schemas.openxmlformats.org/officeDocument/2006/relationships" ref="B41" r:id="rId1"/>
    <hyperlink xmlns:r="http://schemas.openxmlformats.org/officeDocument/2006/relationships" ref="B42" r:id="rId2"/>
    <hyperlink xmlns:r="http://schemas.openxmlformats.org/officeDocument/2006/relationships" ref="B43" r:id="rId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54" customWidth="1" min="4" max="4"/>
  </cols>
  <sheetData>
    <row r="1">
      <c r="A1" s="1" t="inlineStr">
        <is>
          <t>Amazon — accelerator capex &amp; value (FY2025 actual + FY2026 estimate)</t>
        </is>
      </c>
      <c r="B1" s="2" t="n"/>
      <c r="C1" s="2" t="n"/>
      <c r="D1" s="2" t="n"/>
    </row>
    <row r="2">
      <c r="A2" s="8" t="inlineStr">
        <is>
          <t>Metric</t>
        </is>
      </c>
      <c r="B2" s="8" t="inlineStr">
        <is>
          <t>FY2025</t>
        </is>
      </c>
      <c r="C2" s="8" t="inlineStr">
        <is>
          <t>FY2026</t>
        </is>
      </c>
      <c r="D2" s="8" t="inlineStr">
        <is>
          <t>basis / source</t>
        </is>
      </c>
    </row>
    <row r="3">
      <c r="A3" t="inlineStr">
        <is>
          <t>Total capex ($B)</t>
        </is>
      </c>
      <c r="B3" s="14" t="n">
        <v>128.3</v>
      </c>
      <c r="C3" s="15" t="n">
        <v>220</v>
      </c>
      <c r="D3" s="3" t="inlineStr">
        <is>
          <t>FY25 cash capex $128.3B [DISCLOSED]; FY26 raised to ~$220B (Q2'26, 2026-07-30). AWS ~68-70% -&gt; strips fulfillment. Accel ~67% [BOM]. AI rev &gt;$15B AWS run-rate (Q1 FY26, Jassy).</t>
        </is>
      </c>
    </row>
    <row r="4">
      <c r="A4" t="inlineStr">
        <is>
          <t>Infra / data-center share</t>
        </is>
      </c>
      <c r="B4" s="16" t="n">
        <v>0.68</v>
      </c>
      <c r="C4" s="16" t="n">
        <v>0.7</v>
      </c>
      <c r="D4" s="3" t="inlineStr">
        <is>
          <t>strips non-AI (Amazon = AWS only)</t>
        </is>
      </c>
    </row>
    <row r="5">
      <c r="A5" t="inlineStr">
        <is>
          <t>Server / short-lived share</t>
        </is>
      </c>
      <c r="B5" s="16" t="n">
        <v>0.65</v>
      </c>
      <c r="C5" s="16" t="n">
        <v>0.65</v>
      </c>
      <c r="D5" s="3" t="inlineStr">
        <is>
          <t>CFO-disclosed (MSFT rose 50%-&gt;67%)</t>
        </is>
      </c>
    </row>
    <row r="6">
      <c r="A6" t="inlineStr">
        <is>
          <t>Accelerator share within servers</t>
        </is>
      </c>
      <c r="B6" s="16" t="n">
        <v>0.67</v>
      </c>
      <c r="C6" s="16" t="n">
        <v>0.67</v>
      </c>
      <c r="D6" s="3" t="inlineStr">
        <is>
          <t>from BOM teardowns (~67-80%)</t>
        </is>
      </c>
    </row>
    <row r="7">
      <c r="A7" t="inlineStr">
        <is>
          <t>Market cap ($B, approx)</t>
        </is>
      </c>
      <c r="B7" s="17" t="n">
        <v>2830</v>
      </c>
      <c r="D7" s="3" t="inlineStr">
        <is>
          <t>approximate June 2026 market data -- edit</t>
        </is>
      </c>
    </row>
    <row r="9">
      <c r="A9" s="1" t="inlineStr">
        <is>
          <t>DERIVATION</t>
        </is>
      </c>
      <c r="B9" s="2" t="n"/>
      <c r="C9" s="2" t="n"/>
      <c r="D9" s="2" t="n"/>
    </row>
    <row r="10">
      <c r="A10" t="inlineStr">
        <is>
          <t>AI-infra capex ($B)</t>
        </is>
      </c>
      <c r="B10" s="5">
        <f>B3*B4</f>
        <v/>
      </c>
      <c r="C10" s="5">
        <f>C3*C4</f>
        <v/>
      </c>
      <c r="D10" s="3" t="inlineStr">
        <is>
          <t>total x infra share</t>
        </is>
      </c>
    </row>
    <row r="11">
      <c r="A11" t="inlineStr">
        <is>
          <t>Server bucket ($B)</t>
        </is>
      </c>
      <c r="B11" s="5">
        <f>B10*B5</f>
        <v/>
      </c>
      <c r="C11" s="5">
        <f>C10*C5</f>
        <v/>
      </c>
      <c r="D11" s="3" t="inlineStr">
        <is>
          <t>infra x server share</t>
        </is>
      </c>
    </row>
    <row r="12">
      <c r="A12" s="8" t="inlineStr">
        <is>
          <t>ACCELERATOR capex ($B)</t>
        </is>
      </c>
      <c r="B12" s="6">
        <f>B11*B6</f>
        <v/>
      </c>
      <c r="C12" s="6">
        <f>C11*C6</f>
        <v/>
      </c>
      <c r="D12" s="3" t="inlineStr">
        <is>
          <t>server x accel share</t>
        </is>
      </c>
    </row>
    <row r="13">
      <c r="A13" t="inlineStr">
        <is>
          <t>Accel % of total capex</t>
        </is>
      </c>
      <c r="B13" s="7">
        <f>B12/B3</f>
        <v/>
      </c>
      <c r="C13" s="7">
        <f>C12/C3</f>
        <v/>
      </c>
      <c r="D13" s="3" t="inlineStr">
        <is>
          <t>varies across companies</t>
        </is>
      </c>
    </row>
    <row r="15">
      <c r="A15" s="1" t="inlineStr">
        <is>
          <t>FLEET &amp; OPERATING COST (from accelerator capex)</t>
        </is>
      </c>
      <c r="B15" s="2" t="n"/>
      <c r="C15" s="2" t="n"/>
      <c r="D15" s="2" t="n"/>
    </row>
    <row r="16">
      <c r="A16" t="inlineStr">
        <is>
          <t>Fleet size (GPU-equiv)</t>
        </is>
      </c>
      <c r="B16" s="18">
        <f>B12*1000000000/Inputs!$B$7</f>
        <v/>
      </c>
      <c r="C16" s="18">
        <f>C12*1000000000/Inputs!$B$7</f>
        <v/>
      </c>
      <c r="D16" s="3" t="inlineStr">
        <is>
          <t>accel capex / $ per GPU</t>
        </is>
      </c>
    </row>
    <row r="17">
      <c r="A17" t="inlineStr">
        <is>
          <t>Total wall power (MW)</t>
        </is>
      </c>
      <c r="B17" s="18">
        <f>B16*Inputs!$B$8/1000</f>
        <v/>
      </c>
      <c r="C17" s="18">
        <f>C16*Inputs!$B$8/1000</f>
        <v/>
      </c>
      <c r="D17" s="3" t="inlineStr">
        <is>
          <t>GPUs x kW</t>
        </is>
      </c>
    </row>
    <row r="18">
      <c r="A18" t="inlineStr">
        <is>
          <t>Daily energy (MWh)</t>
        </is>
      </c>
      <c r="B18" s="18">
        <f>B17*24</f>
        <v/>
      </c>
      <c r="C18" s="18">
        <f>C17*24</f>
        <v/>
      </c>
      <c r="D18" s="3" t="inlineStr"/>
    </row>
    <row r="19">
      <c r="A19" t="inlineStr">
        <is>
          <t>Daily all-in opex ($/day)</t>
        </is>
      </c>
      <c r="B19" s="18">
        <f>B18*1000*Inputs!$B$9*(1+Inputs!$B$10)</f>
        <v/>
      </c>
      <c r="C19" s="18">
        <f>C18*1000*Inputs!$B$9*(1+Inputs!$B$10)</f>
        <v/>
      </c>
      <c r="D19" s="3" t="inlineStr">
        <is>
          <t>MWh x rate x (1+overhead)</t>
        </is>
      </c>
    </row>
    <row r="20">
      <c r="A20" t="inlineStr">
        <is>
          <t>Annual opex ($M)</t>
        </is>
      </c>
      <c r="B20" s="5">
        <f>B19*365/1000000</f>
        <v/>
      </c>
      <c r="C20" s="5">
        <f>C19*365/1000000</f>
        <v/>
      </c>
      <c r="D20" s="3" t="inlineStr"/>
    </row>
    <row r="21">
      <c r="A21" t="inlineStr">
        <is>
          <t>Lifetime opex ($B)</t>
        </is>
      </c>
      <c r="B21" s="19">
        <f>B20*Inputs!$B$11/1000</f>
        <v/>
      </c>
      <c r="C21" s="19">
        <f>C20*Inputs!$B$11/1000</f>
        <v/>
      </c>
      <c r="D21" s="3" t="inlineStr"/>
    </row>
    <row r="23">
      <c r="A23" s="1" t="inlineStr">
        <is>
          <t>EFFICIENT VERSION &amp; VALUE</t>
        </is>
      </c>
      <c r="B23" s="2" t="n"/>
      <c r="C23" s="2" t="n"/>
      <c r="D23" s="2" t="n"/>
    </row>
    <row r="24">
      <c r="A24" t="inlineStr">
        <is>
          <t>Efficient AI capex ($B)</t>
        </is>
      </c>
      <c r="B24" s="5">
        <f>B10-B25</f>
        <v/>
      </c>
      <c r="C24" s="5">
        <f>C10-C25</f>
        <v/>
      </c>
      <c r="D24" s="3" t="inlineStr">
        <is>
          <t>AI capex - avoided</t>
        </is>
      </c>
    </row>
    <row r="25">
      <c r="A25" t="inlineStr">
        <is>
          <t>Capex avoided/yr ($B)</t>
        </is>
      </c>
      <c r="B25" s="5">
        <f>(B12+(B10-B12)*Inputs!$B$13)*(1-1/Inputs!$B$20)</f>
        <v/>
      </c>
      <c r="C25" s="5">
        <f>(C12+(C10-C12)*Inputs!$B$13)*(1-1/Inputs!$B$20)</f>
        <v/>
      </c>
      <c r="D25" s="3" t="inlineStr">
        <is>
          <t>accel + (datacenter x dc-scale), all x (1-1/reduction)</t>
        </is>
      </c>
    </row>
    <row r="26">
      <c r="A26" t="inlineStr">
        <is>
          <t>Annual opex savings ($M)</t>
        </is>
      </c>
      <c r="B26" s="5">
        <f>B20*(1-1/Inputs!$B$5)</f>
        <v/>
      </c>
      <c r="C26" s="5">
        <f>C20*(1-1/Inputs!$B$5)</f>
        <v/>
      </c>
      <c r="D26" s="3" t="inlineStr"/>
    </row>
    <row r="27">
      <c r="A27" t="inlineStr">
        <is>
          <t>Sustained annual benefit ($B/yr)</t>
        </is>
      </c>
      <c r="B27" s="20">
        <f>B25+B26/1000</f>
        <v/>
      </c>
      <c r="C27" s="20">
        <f>C25+C26/1000</f>
        <v/>
      </c>
      <c r="D27" s="3" t="inlineStr">
        <is>
          <t>avoided + opex savings</t>
        </is>
      </c>
    </row>
    <row r="28">
      <c r="A28" s="8" t="inlineStr">
        <is>
          <t>Capitalized value ($B)</t>
        </is>
      </c>
      <c r="B28" s="13">
        <f>B27/Inputs!$B$6</f>
        <v/>
      </c>
      <c r="C28" s="13">
        <f>C27/Inputs!$B$6</f>
        <v/>
      </c>
      <c r="D28" s="3" t="inlineStr">
        <is>
          <t>benefit / discount rate</t>
        </is>
      </c>
    </row>
    <row r="29">
      <c r="A29" t="inlineStr">
        <is>
          <t>% of market cap</t>
        </is>
      </c>
      <c r="B29" s="21">
        <f>B28/$B$7</f>
        <v/>
      </c>
      <c r="C29" s="21">
        <f>C28/$B$7</f>
        <v/>
      </c>
      <c r="D29" s="3" t="inlineStr"/>
    </row>
    <row r="31">
      <c r="A31" s="1" t="inlineStr">
        <is>
          <t>AI ECONOMICS (cash basis: AI revenue - AI capex - AI opex)</t>
        </is>
      </c>
      <c r="B31" s="2" t="n"/>
      <c r="C31" s="2" t="n"/>
      <c r="D31" s="2" t="n"/>
    </row>
    <row r="32">
      <c r="A32" t="inlineStr">
        <is>
          <t>AI revenue ($B)</t>
        </is>
      </c>
      <c r="B32" s="15" t="n">
        <v>12</v>
      </c>
      <c r="C32" s="15" t="n">
        <v>22</v>
      </c>
      <c r="D32" s="3" t="inlineStr">
        <is>
          <t>ESTIMATE (see Methodology). MSFT $37B &amp; Amazon $15B run-rates disclosed; Google/Meta/SpaceX estimated.</t>
        </is>
      </c>
    </row>
    <row r="33">
      <c r="A33" t="inlineStr">
        <is>
          <t>AI capex ($B)</t>
        </is>
      </c>
      <c r="B33" s="5">
        <f>B10</f>
        <v/>
      </c>
      <c r="C33" s="5">
        <f>C10</f>
        <v/>
      </c>
      <c r="D33" s="3" t="inlineStr">
        <is>
          <t>AI-infra capex (full: accel + buildings + power + net)</t>
        </is>
      </c>
    </row>
    <row r="34">
      <c r="A34" t="inlineStr">
        <is>
          <t>AI opex ($B)</t>
        </is>
      </c>
      <c r="B34" s="5">
        <f>B20/1000</f>
        <v/>
      </c>
      <c r="C34" s="5">
        <f>C20/1000</f>
        <v/>
      </c>
      <c r="D34" s="3" t="inlineStr">
        <is>
          <t>annual power/operating</t>
        </is>
      </c>
    </row>
    <row r="35">
      <c r="A35" s="8" t="inlineStr">
        <is>
          <t>Net AI NOW ($B)</t>
        </is>
      </c>
      <c r="B35" s="6">
        <f>B32-B33-B34</f>
        <v/>
      </c>
      <c r="C35" s="6">
        <f>C32-C33-C34</f>
        <v/>
      </c>
      <c r="D35" s="3" t="inlineStr">
        <is>
          <t>revenue - capex - opex (cash burn)</t>
        </is>
      </c>
    </row>
    <row r="36">
      <c r="A36" t="inlineStr">
        <is>
          <t>Spend cut, our arch ($B)</t>
        </is>
      </c>
      <c r="B36" s="5">
        <f>B27</f>
        <v/>
      </c>
      <c r="C36" s="5">
        <f>C27</f>
        <v/>
      </c>
      <c r="D36" s="3" t="inlineStr">
        <is>
          <t>accel capex avoided + opex saved</t>
        </is>
      </c>
    </row>
    <row r="37">
      <c r="A37" s="8" t="inlineStr">
        <is>
          <t>Net AI WITH our arch ($B)</t>
        </is>
      </c>
      <c r="B37" s="6">
        <f>B35+B36</f>
        <v/>
      </c>
      <c r="C37" s="6">
        <f>C35+C36</f>
        <v/>
      </c>
      <c r="D37" s="3" t="inlineStr">
        <is>
          <t>Net AI now + spend cut</t>
        </is>
      </c>
    </row>
    <row r="38">
      <c r="A38" t="inlineStr">
        <is>
          <t>% AI spend reduction</t>
        </is>
      </c>
      <c r="B38" s="7">
        <f>B36/(B33+B34)</f>
        <v/>
      </c>
      <c r="C38" s="7">
        <f>C36/(C33+C34)</f>
        <v/>
      </c>
      <c r="D38" s="3" t="inlineStr">
        <is>
          <t>spend cut / total AI spend (accel-only; upside if DC scales)</t>
        </is>
      </c>
    </row>
    <row r="40">
      <c r="A40" s="1" t="inlineStr">
        <is>
          <t>SOURCES &amp; REFERENCES</t>
        </is>
      </c>
      <c r="B40" s="2" t="n"/>
      <c r="C40" s="2" t="n"/>
      <c r="D40" s="2" t="n"/>
    </row>
    <row r="41">
      <c r="A41" s="3" t="inlineStr">
        <is>
          <t>FY25 cash capex $128.3B; AWS 67.8% of net P&amp;E adds; server life 6-&gt;5yr (FY25 10-K)</t>
        </is>
      </c>
      <c r="B41" s="22" t="inlineStr">
        <is>
          <t>https://www.sec.gov/Archives/edgar/data/1018724/000101872426000004/amzn-20251231.htm</t>
        </is>
      </c>
    </row>
    <row r="42">
      <c r="A42" s="3" t="inlineStr">
        <is>
          <t>~$200B 2026 capex, 'predominantly AWS' (Q4'25 call)</t>
        </is>
      </c>
      <c r="B42" s="22" t="inlineStr">
        <is>
          <t>https://www.fool.com/earnings/call-transcripts/2026/02/05/amazon-amzn-q4-2025-earnings-call-transcript/</t>
        </is>
      </c>
    </row>
    <row r="43">
      <c r="A43" s="3" t="inlineStr">
        <is>
          <t>AWS AI revenue &gt;$15B annual run-rate (Q1'26, Jassy)</t>
        </is>
      </c>
      <c r="B43" s="22" t="inlineStr">
        <is>
          <t>https://www.bnnbloomberg.ca/business/artificial-intelligence/2026/04/09/amazon-cloud-units-ai-revenue-run-rate-exceeds-us15-billion-in-first-quarter-ceo-says/</t>
        </is>
      </c>
    </row>
  </sheetData>
  <mergeCells count="3">
    <mergeCell ref="B42:D42"/>
    <mergeCell ref="B41:D41"/>
    <mergeCell ref="B43:D43"/>
  </mergeCells>
  <hyperlinks>
    <hyperlink xmlns:r="http://schemas.openxmlformats.org/officeDocument/2006/relationships" ref="B41" r:id="rId1"/>
    <hyperlink xmlns:r="http://schemas.openxmlformats.org/officeDocument/2006/relationships" ref="B42" r:id="rId2"/>
    <hyperlink xmlns:r="http://schemas.openxmlformats.org/officeDocument/2006/relationships" ref="B43" r:id="rId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54" customWidth="1" min="4" max="4"/>
  </cols>
  <sheetData>
    <row r="1">
      <c r="A1" s="1" t="inlineStr">
        <is>
          <t>Meta — accelerator capex &amp; value (FY2025 actual + FY2026 estimate)</t>
        </is>
      </c>
      <c r="B1" s="2" t="n"/>
      <c r="C1" s="2" t="n"/>
      <c r="D1" s="2" t="n"/>
    </row>
    <row r="2">
      <c r="A2" s="8" t="inlineStr">
        <is>
          <t>Metric</t>
        </is>
      </c>
      <c r="B2" s="8" t="inlineStr">
        <is>
          <t>FY2025</t>
        </is>
      </c>
      <c r="C2" s="8" t="inlineStr">
        <is>
          <t>FY2026</t>
        </is>
      </c>
      <c r="D2" s="8" t="inlineStr">
        <is>
          <t>basis / source</t>
        </is>
      </c>
    </row>
    <row r="3">
      <c r="A3" t="inlineStr">
        <is>
          <t>Total capex ($B)</t>
        </is>
      </c>
      <c r="B3" s="14" t="n">
        <v>72.2</v>
      </c>
      <c r="C3" s="15" t="n">
        <v>137.5</v>
      </c>
      <c r="D3" s="3" t="inlineStr">
        <is>
          <t>FY25 capex incl leases $72.2B [DISCLOSED]; FY26 $130-145B guide (mid 137.5). Accel ~74% [BOM]. AI rev DIRECT est ~$4B -- Meta's real AI payoff is INDIRECT ad-uplift (~$20B), not counted.</t>
        </is>
      </c>
    </row>
    <row r="4">
      <c r="A4" t="inlineStr">
        <is>
          <t>Infra / data-center share</t>
        </is>
      </c>
      <c r="B4" s="16" t="n">
        <v>1</v>
      </c>
      <c r="C4" s="16" t="n">
        <v>1</v>
      </c>
      <c r="D4" s="3" t="inlineStr">
        <is>
          <t>strips non-AI (Amazon = AWS only)</t>
        </is>
      </c>
    </row>
    <row r="5">
      <c r="A5" t="inlineStr">
        <is>
          <t>Server / short-lived share</t>
        </is>
      </c>
      <c r="B5" s="16" t="n">
        <v>0.65</v>
      </c>
      <c r="C5" s="16" t="n">
        <v>0.65</v>
      </c>
      <c r="D5" s="3" t="inlineStr">
        <is>
          <t>CFO-disclosed (MSFT rose 50%-&gt;67%)</t>
        </is>
      </c>
    </row>
    <row r="6">
      <c r="A6" t="inlineStr">
        <is>
          <t>Accelerator share within servers</t>
        </is>
      </c>
      <c r="B6" s="16" t="n">
        <v>0.74</v>
      </c>
      <c r="C6" s="16" t="n">
        <v>0.74</v>
      </c>
      <c r="D6" s="3" t="inlineStr">
        <is>
          <t>from BOM teardowns (~67-80%)</t>
        </is>
      </c>
    </row>
    <row r="7">
      <c r="A7" t="inlineStr">
        <is>
          <t>Market cap ($B, approx)</t>
        </is>
      </c>
      <c r="B7" s="17" t="n">
        <v>1490</v>
      </c>
      <c r="D7" s="3" t="inlineStr">
        <is>
          <t>approximate June 2026 market data -- edit</t>
        </is>
      </c>
    </row>
    <row r="9">
      <c r="A9" s="1" t="inlineStr">
        <is>
          <t>DERIVATION</t>
        </is>
      </c>
      <c r="B9" s="2" t="n"/>
      <c r="C9" s="2" t="n"/>
      <c r="D9" s="2" t="n"/>
    </row>
    <row r="10">
      <c r="A10" t="inlineStr">
        <is>
          <t>AI-infra capex ($B)</t>
        </is>
      </c>
      <c r="B10" s="5">
        <f>B3*B4</f>
        <v/>
      </c>
      <c r="C10" s="5">
        <f>C3*C4</f>
        <v/>
      </c>
      <c r="D10" s="3" t="inlineStr">
        <is>
          <t>total x infra share</t>
        </is>
      </c>
    </row>
    <row r="11">
      <c r="A11" t="inlineStr">
        <is>
          <t>Server bucket ($B)</t>
        </is>
      </c>
      <c r="B11" s="5">
        <f>B10*B5</f>
        <v/>
      </c>
      <c r="C11" s="5">
        <f>C10*C5</f>
        <v/>
      </c>
      <c r="D11" s="3" t="inlineStr">
        <is>
          <t>infra x server share</t>
        </is>
      </c>
    </row>
    <row r="12">
      <c r="A12" s="8" t="inlineStr">
        <is>
          <t>ACCELERATOR capex ($B)</t>
        </is>
      </c>
      <c r="B12" s="6">
        <f>B11*B6</f>
        <v/>
      </c>
      <c r="C12" s="6">
        <f>C11*C6</f>
        <v/>
      </c>
      <c r="D12" s="3" t="inlineStr">
        <is>
          <t>server x accel share</t>
        </is>
      </c>
    </row>
    <row r="13">
      <c r="A13" t="inlineStr">
        <is>
          <t>Accel % of total capex</t>
        </is>
      </c>
      <c r="B13" s="7">
        <f>B12/B3</f>
        <v/>
      </c>
      <c r="C13" s="7">
        <f>C12/C3</f>
        <v/>
      </c>
      <c r="D13" s="3" t="inlineStr">
        <is>
          <t>varies across companies</t>
        </is>
      </c>
    </row>
    <row r="15">
      <c r="A15" s="1" t="inlineStr">
        <is>
          <t>FLEET &amp; OPERATING COST (from accelerator capex)</t>
        </is>
      </c>
      <c r="B15" s="2" t="n"/>
      <c r="C15" s="2" t="n"/>
      <c r="D15" s="2" t="n"/>
    </row>
    <row r="16">
      <c r="A16" t="inlineStr">
        <is>
          <t>Fleet size (GPU-equiv)</t>
        </is>
      </c>
      <c r="B16" s="18">
        <f>B12*1000000000/Inputs!$B$7</f>
        <v/>
      </c>
      <c r="C16" s="18">
        <f>C12*1000000000/Inputs!$B$7</f>
        <v/>
      </c>
      <c r="D16" s="3" t="inlineStr">
        <is>
          <t>accel capex / $ per GPU</t>
        </is>
      </c>
    </row>
    <row r="17">
      <c r="A17" t="inlineStr">
        <is>
          <t>Total wall power (MW)</t>
        </is>
      </c>
      <c r="B17" s="18">
        <f>B16*Inputs!$B$8/1000</f>
        <v/>
      </c>
      <c r="C17" s="18">
        <f>C16*Inputs!$B$8/1000</f>
        <v/>
      </c>
      <c r="D17" s="3" t="inlineStr">
        <is>
          <t>GPUs x kW</t>
        </is>
      </c>
    </row>
    <row r="18">
      <c r="A18" t="inlineStr">
        <is>
          <t>Daily energy (MWh)</t>
        </is>
      </c>
      <c r="B18" s="18">
        <f>B17*24</f>
        <v/>
      </c>
      <c r="C18" s="18">
        <f>C17*24</f>
        <v/>
      </c>
      <c r="D18" s="3" t="inlineStr"/>
    </row>
    <row r="19">
      <c r="A19" t="inlineStr">
        <is>
          <t>Daily all-in opex ($/day)</t>
        </is>
      </c>
      <c r="B19" s="18">
        <f>B18*1000*Inputs!$B$9*(1+Inputs!$B$10)</f>
        <v/>
      </c>
      <c r="C19" s="18">
        <f>C18*1000*Inputs!$B$9*(1+Inputs!$B$10)</f>
        <v/>
      </c>
      <c r="D19" s="3" t="inlineStr">
        <is>
          <t>MWh x rate x (1+overhead)</t>
        </is>
      </c>
    </row>
    <row r="20">
      <c r="A20" t="inlineStr">
        <is>
          <t>Annual opex ($M)</t>
        </is>
      </c>
      <c r="B20" s="5">
        <f>B19*365/1000000</f>
        <v/>
      </c>
      <c r="C20" s="5">
        <f>C19*365/1000000</f>
        <v/>
      </c>
      <c r="D20" s="3" t="inlineStr"/>
    </row>
    <row r="21">
      <c r="A21" t="inlineStr">
        <is>
          <t>Lifetime opex ($B)</t>
        </is>
      </c>
      <c r="B21" s="19">
        <f>B20*Inputs!$B$11/1000</f>
        <v/>
      </c>
      <c r="C21" s="19">
        <f>C20*Inputs!$B$11/1000</f>
        <v/>
      </c>
      <c r="D21" s="3" t="inlineStr"/>
    </row>
    <row r="23">
      <c r="A23" s="1" t="inlineStr">
        <is>
          <t>EFFICIENT VERSION &amp; VALUE</t>
        </is>
      </c>
      <c r="B23" s="2" t="n"/>
      <c r="C23" s="2" t="n"/>
      <c r="D23" s="2" t="n"/>
    </row>
    <row r="24">
      <c r="A24" t="inlineStr">
        <is>
          <t>Efficient AI capex ($B)</t>
        </is>
      </c>
      <c r="B24" s="5">
        <f>B10-B25</f>
        <v/>
      </c>
      <c r="C24" s="5">
        <f>C10-C25</f>
        <v/>
      </c>
      <c r="D24" s="3" t="inlineStr">
        <is>
          <t>AI capex - avoided</t>
        </is>
      </c>
    </row>
    <row r="25">
      <c r="A25" t="inlineStr">
        <is>
          <t>Capex avoided/yr ($B)</t>
        </is>
      </c>
      <c r="B25" s="5">
        <f>(B12+(B10-B12)*Inputs!$B$13)*(1-1/Inputs!$B$20)</f>
        <v/>
      </c>
      <c r="C25" s="5">
        <f>(C12+(C10-C12)*Inputs!$B$13)*(1-1/Inputs!$B$20)</f>
        <v/>
      </c>
      <c r="D25" s="3" t="inlineStr">
        <is>
          <t>accel + (datacenter x dc-scale), all x (1-1/reduction)</t>
        </is>
      </c>
    </row>
    <row r="26">
      <c r="A26" t="inlineStr">
        <is>
          <t>Annual opex savings ($M)</t>
        </is>
      </c>
      <c r="B26" s="5">
        <f>B20*(1-1/Inputs!$B$5)</f>
        <v/>
      </c>
      <c r="C26" s="5">
        <f>C20*(1-1/Inputs!$B$5)</f>
        <v/>
      </c>
      <c r="D26" s="3" t="inlineStr"/>
    </row>
    <row r="27">
      <c r="A27" t="inlineStr">
        <is>
          <t>Sustained annual benefit ($B/yr)</t>
        </is>
      </c>
      <c r="B27" s="20">
        <f>B25+B26/1000</f>
        <v/>
      </c>
      <c r="C27" s="20">
        <f>C25+C26/1000</f>
        <v/>
      </c>
      <c r="D27" s="3" t="inlineStr">
        <is>
          <t>avoided + opex savings</t>
        </is>
      </c>
    </row>
    <row r="28">
      <c r="A28" s="8" t="inlineStr">
        <is>
          <t>Capitalized value ($B)</t>
        </is>
      </c>
      <c r="B28" s="13">
        <f>B27/Inputs!$B$6</f>
        <v/>
      </c>
      <c r="C28" s="13">
        <f>C27/Inputs!$B$6</f>
        <v/>
      </c>
      <c r="D28" s="3" t="inlineStr">
        <is>
          <t>benefit / discount rate</t>
        </is>
      </c>
    </row>
    <row r="29">
      <c r="A29" t="inlineStr">
        <is>
          <t>% of market cap</t>
        </is>
      </c>
      <c r="B29" s="21">
        <f>B28/$B$7</f>
        <v/>
      </c>
      <c r="C29" s="21">
        <f>C28/$B$7</f>
        <v/>
      </c>
      <c r="D29" s="3" t="inlineStr"/>
    </row>
    <row r="31">
      <c r="A31" s="1" t="inlineStr">
        <is>
          <t>AI ECONOMICS (cash basis: AI revenue - AI capex - AI opex)</t>
        </is>
      </c>
      <c r="B31" s="2" t="n"/>
      <c r="C31" s="2" t="n"/>
      <c r="D31" s="2" t="n"/>
    </row>
    <row r="32">
      <c r="A32" t="inlineStr">
        <is>
          <t>AI revenue ($B)</t>
        </is>
      </c>
      <c r="B32" s="15" t="n">
        <v>4</v>
      </c>
      <c r="C32" s="15" t="n">
        <v>8</v>
      </c>
      <c r="D32" s="3" t="inlineStr">
        <is>
          <t>ESTIMATE (see Methodology). MSFT $37B &amp; Amazon $15B run-rates disclosed; Google/Meta/SpaceX estimated.</t>
        </is>
      </c>
    </row>
    <row r="33">
      <c r="A33" t="inlineStr">
        <is>
          <t>AI capex ($B)</t>
        </is>
      </c>
      <c r="B33" s="5">
        <f>B10</f>
        <v/>
      </c>
      <c r="C33" s="5">
        <f>C10</f>
        <v/>
      </c>
      <c r="D33" s="3" t="inlineStr">
        <is>
          <t>AI-infra capex (full: accel + buildings + power + net)</t>
        </is>
      </c>
    </row>
    <row r="34">
      <c r="A34" t="inlineStr">
        <is>
          <t>AI opex ($B)</t>
        </is>
      </c>
      <c r="B34" s="5">
        <f>B20/1000</f>
        <v/>
      </c>
      <c r="C34" s="5">
        <f>C20/1000</f>
        <v/>
      </c>
      <c r="D34" s="3" t="inlineStr">
        <is>
          <t>annual power/operating</t>
        </is>
      </c>
    </row>
    <row r="35">
      <c r="A35" s="8" t="inlineStr">
        <is>
          <t>Net AI NOW ($B)</t>
        </is>
      </c>
      <c r="B35" s="6">
        <f>B32-B33-B34</f>
        <v/>
      </c>
      <c r="C35" s="6">
        <f>C32-C33-C34</f>
        <v/>
      </c>
      <c r="D35" s="3" t="inlineStr">
        <is>
          <t>revenue - capex - opex (cash burn)</t>
        </is>
      </c>
    </row>
    <row r="36">
      <c r="A36" t="inlineStr">
        <is>
          <t>Spend cut, our arch ($B)</t>
        </is>
      </c>
      <c r="B36" s="5">
        <f>B27</f>
        <v/>
      </c>
      <c r="C36" s="5">
        <f>C27</f>
        <v/>
      </c>
      <c r="D36" s="3" t="inlineStr">
        <is>
          <t>accel capex avoided + opex saved</t>
        </is>
      </c>
    </row>
    <row r="37">
      <c r="A37" s="8" t="inlineStr">
        <is>
          <t>Net AI WITH our arch ($B)</t>
        </is>
      </c>
      <c r="B37" s="6">
        <f>B35+B36</f>
        <v/>
      </c>
      <c r="C37" s="6">
        <f>C35+C36</f>
        <v/>
      </c>
      <c r="D37" s="3" t="inlineStr">
        <is>
          <t>Net AI now + spend cut</t>
        </is>
      </c>
    </row>
    <row r="38">
      <c r="A38" t="inlineStr">
        <is>
          <t>% AI spend reduction</t>
        </is>
      </c>
      <c r="B38" s="7">
        <f>B36/(B33+B34)</f>
        <v/>
      </c>
      <c r="C38" s="7">
        <f>C36/(C33+C34)</f>
        <v/>
      </c>
      <c r="D38" s="3" t="inlineStr">
        <is>
          <t>spend cut / total AI spend (accel-only; upside if DC scales)</t>
        </is>
      </c>
    </row>
    <row r="40">
      <c r="A40" s="1" t="inlineStr">
        <is>
          <t>SOURCES &amp; REFERENCES</t>
        </is>
      </c>
      <c r="B40" s="2" t="n"/>
      <c r="C40" s="2" t="n"/>
      <c r="D40" s="2" t="n"/>
    </row>
    <row r="41">
      <c r="A41" s="3" t="inlineStr">
        <is>
          <t>FY25 capex $72.2B incl finance leases (Q4/FY25 release)</t>
        </is>
      </c>
      <c r="B41" s="22" t="inlineStr">
        <is>
          <t>https://investor.atmeta.com/investor-news/press-release-details/2026/Meta-Reports-Fourth-Quarter-and-Full-Year-2025-Results/default.aspx</t>
        </is>
      </c>
    </row>
    <row r="42">
      <c r="A42" s="3" t="inlineStr">
        <is>
          <t>FY26 $125-145B guide; raise driven by HBM pricing (Q1'26 call)</t>
        </is>
      </c>
      <c r="B42" s="22" t="inlineStr">
        <is>
          <t>https://www.fool.com/earnings/call-transcripts/2026/04/29/meta-meta-q1-2026-earnings-call-transcript/</t>
        </is>
      </c>
    </row>
    <row r="43">
      <c r="A43" s="3" t="inlineStr">
        <is>
          <t>&gt;1.3M GPUs by end-2025 (Zuckerberg) - cross-checks accel capex</t>
        </is>
      </c>
      <c r="B43" s="22" t="inlineStr">
        <is>
          <t>https://techcrunch.com/2025/01/24/mark-zuckerberg-says-meta-will-have-1-3m-gpus-for-ai-by-year-end/</t>
        </is>
      </c>
    </row>
    <row r="44">
      <c r="A44" s="3" t="inlineStr">
        <is>
          <t>Server life 5.5yr (-$2.9B depreciation)</t>
        </is>
      </c>
      <c r="B44" s="22" t="inlineStr">
        <is>
          <t>https://www.thestack.technology/meta-extends-server-life-again-saving-it-2-9-billion/</t>
        </is>
      </c>
    </row>
    <row r="45">
      <c r="A45" s="3" t="inlineStr">
        <is>
          <t>~25% of capex to NVIDIA (Bloomberg) - accel-share basis</t>
        </is>
      </c>
      <c r="B45" s="22" t="inlineStr">
        <is>
          <t>https://finance.yahoo.com/news/big-techs-spending-drove-nvidias-rise-154027146.html</t>
        </is>
      </c>
    </row>
  </sheetData>
  <mergeCells count="5">
    <mergeCell ref="B42:D42"/>
    <mergeCell ref="B45:D45"/>
    <mergeCell ref="B41:D41"/>
    <mergeCell ref="B44:D44"/>
    <mergeCell ref="B43:D43"/>
  </mergeCells>
  <hyperlinks>
    <hyperlink xmlns:r="http://schemas.openxmlformats.org/officeDocument/2006/relationships" ref="B41" r:id="rId1"/>
    <hyperlink xmlns:r="http://schemas.openxmlformats.org/officeDocument/2006/relationships" ref="B42" r:id="rId2"/>
    <hyperlink xmlns:r="http://schemas.openxmlformats.org/officeDocument/2006/relationships" ref="B43" r:id="rId3"/>
    <hyperlink xmlns:r="http://schemas.openxmlformats.org/officeDocument/2006/relationships" ref="B44" r:id="rId4"/>
    <hyperlink xmlns:r="http://schemas.openxmlformats.org/officeDocument/2006/relationships" ref="B45" r:id="rId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54" customWidth="1" min="4" max="4"/>
  </cols>
  <sheetData>
    <row r="1">
      <c r="A1" s="1" t="inlineStr">
        <is>
          <t>Oracle — accelerator capex &amp; value (FY2025 actual + FY2026 estimate)</t>
        </is>
      </c>
      <c r="B1" s="2" t="n"/>
      <c r="C1" s="2" t="n"/>
      <c r="D1" s="2" t="n"/>
    </row>
    <row r="2">
      <c r="A2" s="8" t="inlineStr">
        <is>
          <t>Metric</t>
        </is>
      </c>
      <c r="B2" s="8" t="inlineStr">
        <is>
          <t>FY2025</t>
        </is>
      </c>
      <c r="C2" s="8" t="inlineStr">
        <is>
          <t>FY2026</t>
        </is>
      </c>
      <c r="D2" s="8" t="inlineStr">
        <is>
          <t>basis / source</t>
        </is>
      </c>
    </row>
    <row r="3">
      <c r="A3" t="inlineStr">
        <is>
          <t>Total capex ($B)</t>
        </is>
      </c>
      <c r="B3" s="14" t="n">
        <v>21.2</v>
      </c>
      <c r="C3" s="15" t="n">
        <v>55.7</v>
      </c>
      <c r="D3" s="3" t="inlineStr">
        <is>
          <t>FY25 capex $21.2B [DISCLOSED 10-K]; FY26 ACTUAL $55.7B (reported 2026-06-10; FY27 guide ~$70B net / up to $95B gross). Capex ~all OCI/GPU data centers. Accel ~70% [BOM]. AI rev = OCI/GPU cloud (IaaS ~$12B r/r Q4 FY25; AI subset, EST).</t>
        </is>
      </c>
    </row>
    <row r="4">
      <c r="A4" t="inlineStr">
        <is>
          <t>Infra / data-center share</t>
        </is>
      </c>
      <c r="B4" s="16" t="n">
        <v>0.85</v>
      </c>
      <c r="C4" s="16" t="n">
        <v>0.9</v>
      </c>
      <c r="D4" s="3" t="inlineStr">
        <is>
          <t>strips non-AI (Amazon = AWS only)</t>
        </is>
      </c>
    </row>
    <row r="5">
      <c r="A5" t="inlineStr">
        <is>
          <t>Server / short-lived share</t>
        </is>
      </c>
      <c r="B5" s="16" t="n">
        <v>0.75</v>
      </c>
      <c r="C5" s="16" t="n">
        <v>0.75</v>
      </c>
      <c r="D5" s="3" t="inlineStr">
        <is>
          <t>CFO-disclosed (MSFT rose 50%-&gt;67%)</t>
        </is>
      </c>
    </row>
    <row r="6">
      <c r="A6" t="inlineStr">
        <is>
          <t>Accelerator share within servers</t>
        </is>
      </c>
      <c r="B6" s="16" t="n">
        <v>0.7</v>
      </c>
      <c r="C6" s="16" t="n">
        <v>0.7</v>
      </c>
      <c r="D6" s="3" t="inlineStr">
        <is>
          <t>from BOM teardowns (~67-80%)</t>
        </is>
      </c>
    </row>
    <row r="7">
      <c r="A7" t="inlineStr">
        <is>
          <t>Market cap ($B, approx)</t>
        </is>
      </c>
      <c r="B7" s="17" t="n">
        <v>433</v>
      </c>
      <c r="D7" s="3" t="inlineStr">
        <is>
          <t>approximate June 2026 market data -- edit</t>
        </is>
      </c>
    </row>
    <row r="9">
      <c r="A9" s="1" t="inlineStr">
        <is>
          <t>DERIVATION</t>
        </is>
      </c>
      <c r="B9" s="2" t="n"/>
      <c r="C9" s="2" t="n"/>
      <c r="D9" s="2" t="n"/>
    </row>
    <row r="10">
      <c r="A10" t="inlineStr">
        <is>
          <t>AI-infra capex ($B)</t>
        </is>
      </c>
      <c r="B10" s="5">
        <f>B3*B4</f>
        <v/>
      </c>
      <c r="C10" s="5">
        <f>C3*C4</f>
        <v/>
      </c>
      <c r="D10" s="3" t="inlineStr">
        <is>
          <t>total x infra share</t>
        </is>
      </c>
    </row>
    <row r="11">
      <c r="A11" t="inlineStr">
        <is>
          <t>Server bucket ($B)</t>
        </is>
      </c>
      <c r="B11" s="5">
        <f>B10*B5</f>
        <v/>
      </c>
      <c r="C11" s="5">
        <f>C10*C5</f>
        <v/>
      </c>
      <c r="D11" s="3" t="inlineStr">
        <is>
          <t>infra x server share</t>
        </is>
      </c>
    </row>
    <row r="12">
      <c r="A12" s="8" t="inlineStr">
        <is>
          <t>ACCELERATOR capex ($B)</t>
        </is>
      </c>
      <c r="B12" s="6">
        <f>B11*B6</f>
        <v/>
      </c>
      <c r="C12" s="6">
        <f>C11*C6</f>
        <v/>
      </c>
      <c r="D12" s="3" t="inlineStr">
        <is>
          <t>server x accel share</t>
        </is>
      </c>
    </row>
    <row r="13">
      <c r="A13" t="inlineStr">
        <is>
          <t>Accel % of total capex</t>
        </is>
      </c>
      <c r="B13" s="7">
        <f>B12/B3</f>
        <v/>
      </c>
      <c r="C13" s="7">
        <f>C12/C3</f>
        <v/>
      </c>
      <c r="D13" s="3" t="inlineStr">
        <is>
          <t>varies across companies</t>
        </is>
      </c>
    </row>
    <row r="15">
      <c r="A15" s="1" t="inlineStr">
        <is>
          <t>FLEET &amp; OPERATING COST (from accelerator capex)</t>
        </is>
      </c>
      <c r="B15" s="2" t="n"/>
      <c r="C15" s="2" t="n"/>
      <c r="D15" s="2" t="n"/>
    </row>
    <row r="16">
      <c r="A16" t="inlineStr">
        <is>
          <t>Fleet size (GPU-equiv)</t>
        </is>
      </c>
      <c r="B16" s="18">
        <f>B12*1000000000/Inputs!$B$7</f>
        <v/>
      </c>
      <c r="C16" s="18">
        <f>C12*1000000000/Inputs!$B$7</f>
        <v/>
      </c>
      <c r="D16" s="3" t="inlineStr">
        <is>
          <t>accel capex / $ per GPU</t>
        </is>
      </c>
    </row>
    <row r="17">
      <c r="A17" t="inlineStr">
        <is>
          <t>Total wall power (MW)</t>
        </is>
      </c>
      <c r="B17" s="18">
        <f>B16*Inputs!$B$8/1000</f>
        <v/>
      </c>
      <c r="C17" s="18">
        <f>C16*Inputs!$B$8/1000</f>
        <v/>
      </c>
      <c r="D17" s="3" t="inlineStr">
        <is>
          <t>GPUs x kW</t>
        </is>
      </c>
    </row>
    <row r="18">
      <c r="A18" t="inlineStr">
        <is>
          <t>Daily energy (MWh)</t>
        </is>
      </c>
      <c r="B18" s="18">
        <f>B17*24</f>
        <v/>
      </c>
      <c r="C18" s="18">
        <f>C17*24</f>
        <v/>
      </c>
      <c r="D18" s="3" t="inlineStr"/>
    </row>
    <row r="19">
      <c r="A19" t="inlineStr">
        <is>
          <t>Daily all-in opex ($/day)</t>
        </is>
      </c>
      <c r="B19" s="18">
        <f>B18*1000*Inputs!$B$9*(1+Inputs!$B$10)</f>
        <v/>
      </c>
      <c r="C19" s="18">
        <f>C18*1000*Inputs!$B$9*(1+Inputs!$B$10)</f>
        <v/>
      </c>
      <c r="D19" s="3" t="inlineStr">
        <is>
          <t>MWh x rate x (1+overhead)</t>
        </is>
      </c>
    </row>
    <row r="20">
      <c r="A20" t="inlineStr">
        <is>
          <t>Annual opex ($M)</t>
        </is>
      </c>
      <c r="B20" s="5">
        <f>B19*365/1000000</f>
        <v/>
      </c>
      <c r="C20" s="5">
        <f>C19*365/1000000</f>
        <v/>
      </c>
      <c r="D20" s="3" t="inlineStr"/>
    </row>
    <row r="21">
      <c r="A21" t="inlineStr">
        <is>
          <t>Lifetime opex ($B)</t>
        </is>
      </c>
      <c r="B21" s="19">
        <f>B20*Inputs!$B$11/1000</f>
        <v/>
      </c>
      <c r="C21" s="19">
        <f>C20*Inputs!$B$11/1000</f>
        <v/>
      </c>
      <c r="D21" s="3" t="inlineStr"/>
    </row>
    <row r="23">
      <c r="A23" s="1" t="inlineStr">
        <is>
          <t>EFFICIENT VERSION &amp; VALUE</t>
        </is>
      </c>
      <c r="B23" s="2" t="n"/>
      <c r="C23" s="2" t="n"/>
      <c r="D23" s="2" t="n"/>
    </row>
    <row r="24">
      <c r="A24" t="inlineStr">
        <is>
          <t>Efficient AI capex ($B)</t>
        </is>
      </c>
      <c r="B24" s="5">
        <f>B10-B25</f>
        <v/>
      </c>
      <c r="C24" s="5">
        <f>C10-C25</f>
        <v/>
      </c>
      <c r="D24" s="3" t="inlineStr">
        <is>
          <t>AI capex - avoided</t>
        </is>
      </c>
    </row>
    <row r="25">
      <c r="A25" t="inlineStr">
        <is>
          <t>Capex avoided/yr ($B)</t>
        </is>
      </c>
      <c r="B25" s="5">
        <f>(B12+(B10-B12)*Inputs!$B$13)*(1-1/Inputs!$B$20)</f>
        <v/>
      </c>
      <c r="C25" s="5">
        <f>(C12+(C10-C12)*Inputs!$B$13)*(1-1/Inputs!$B$20)</f>
        <v/>
      </c>
      <c r="D25" s="3" t="inlineStr">
        <is>
          <t>accel + (datacenter x dc-scale), all x (1-1/reduction)</t>
        </is>
      </c>
    </row>
    <row r="26">
      <c r="A26" t="inlineStr">
        <is>
          <t>Annual opex savings ($M)</t>
        </is>
      </c>
      <c r="B26" s="5">
        <f>B20*(1-1/Inputs!$B$5)</f>
        <v/>
      </c>
      <c r="C26" s="5">
        <f>C20*(1-1/Inputs!$B$5)</f>
        <v/>
      </c>
      <c r="D26" s="3" t="inlineStr"/>
    </row>
    <row r="27">
      <c r="A27" t="inlineStr">
        <is>
          <t>Sustained annual benefit ($B/yr)</t>
        </is>
      </c>
      <c r="B27" s="20">
        <f>B25+B26/1000</f>
        <v/>
      </c>
      <c r="C27" s="20">
        <f>C25+C26/1000</f>
        <v/>
      </c>
      <c r="D27" s="3" t="inlineStr">
        <is>
          <t>avoided + opex savings</t>
        </is>
      </c>
    </row>
    <row r="28">
      <c r="A28" s="8" t="inlineStr">
        <is>
          <t>Capitalized value ($B)</t>
        </is>
      </c>
      <c r="B28" s="13">
        <f>B27/Inputs!$B$6</f>
        <v/>
      </c>
      <c r="C28" s="13">
        <f>C27/Inputs!$B$6</f>
        <v/>
      </c>
      <c r="D28" s="3" t="inlineStr">
        <is>
          <t>benefit / discount rate</t>
        </is>
      </c>
    </row>
    <row r="29">
      <c r="A29" t="inlineStr">
        <is>
          <t>% of market cap</t>
        </is>
      </c>
      <c r="B29" s="21">
        <f>B28/$B$7</f>
        <v/>
      </c>
      <c r="C29" s="21">
        <f>C28/$B$7</f>
        <v/>
      </c>
      <c r="D29" s="3" t="inlineStr"/>
    </row>
    <row r="31">
      <c r="A31" s="1" t="inlineStr">
        <is>
          <t>AI ECONOMICS (cash basis: AI revenue - AI capex - AI opex)</t>
        </is>
      </c>
      <c r="B31" s="2" t="n"/>
      <c r="C31" s="2" t="n"/>
      <c r="D31" s="2" t="n"/>
    </row>
    <row r="32">
      <c r="A32" t="inlineStr">
        <is>
          <t>AI revenue ($B)</t>
        </is>
      </c>
      <c r="B32" s="15" t="n">
        <v>8</v>
      </c>
      <c r="C32" s="15" t="n">
        <v>15</v>
      </c>
      <c r="D32" s="3" t="inlineStr">
        <is>
          <t>ESTIMATE (see Methodology). MSFT $37B &amp; Amazon $15B run-rates disclosed; Google/Meta/SpaceX estimated.</t>
        </is>
      </c>
    </row>
    <row r="33">
      <c r="A33" t="inlineStr">
        <is>
          <t>AI capex ($B)</t>
        </is>
      </c>
      <c r="B33" s="5">
        <f>B10</f>
        <v/>
      </c>
      <c r="C33" s="5">
        <f>C10</f>
        <v/>
      </c>
      <c r="D33" s="3" t="inlineStr">
        <is>
          <t>AI-infra capex (full: accel + buildings + power + net)</t>
        </is>
      </c>
    </row>
    <row r="34">
      <c r="A34" t="inlineStr">
        <is>
          <t>AI opex ($B)</t>
        </is>
      </c>
      <c r="B34" s="5">
        <f>B20/1000</f>
        <v/>
      </c>
      <c r="C34" s="5">
        <f>C20/1000</f>
        <v/>
      </c>
      <c r="D34" s="3" t="inlineStr">
        <is>
          <t>annual power/operating</t>
        </is>
      </c>
    </row>
    <row r="35">
      <c r="A35" s="8" t="inlineStr">
        <is>
          <t>Net AI NOW ($B)</t>
        </is>
      </c>
      <c r="B35" s="6">
        <f>B32-B33-B34</f>
        <v/>
      </c>
      <c r="C35" s="6">
        <f>C32-C33-C34</f>
        <v/>
      </c>
      <c r="D35" s="3" t="inlineStr">
        <is>
          <t>revenue - capex - opex (cash burn)</t>
        </is>
      </c>
    </row>
    <row r="36">
      <c r="A36" t="inlineStr">
        <is>
          <t>Spend cut, our arch ($B)</t>
        </is>
      </c>
      <c r="B36" s="5">
        <f>B27</f>
        <v/>
      </c>
      <c r="C36" s="5">
        <f>C27</f>
        <v/>
      </c>
      <c r="D36" s="3" t="inlineStr">
        <is>
          <t>accel capex avoided + opex saved</t>
        </is>
      </c>
    </row>
    <row r="37">
      <c r="A37" s="8" t="inlineStr">
        <is>
          <t>Net AI WITH our arch ($B)</t>
        </is>
      </c>
      <c r="B37" s="6">
        <f>B35+B36</f>
        <v/>
      </c>
      <c r="C37" s="6">
        <f>C35+C36</f>
        <v/>
      </c>
      <c r="D37" s="3" t="inlineStr">
        <is>
          <t>Net AI now + spend cut</t>
        </is>
      </c>
    </row>
    <row r="38">
      <c r="A38" t="inlineStr">
        <is>
          <t>% AI spend reduction</t>
        </is>
      </c>
      <c r="B38" s="7">
        <f>B36/(B33+B34)</f>
        <v/>
      </c>
      <c r="C38" s="7">
        <f>C36/(C33+C34)</f>
        <v/>
      </c>
      <c r="D38" s="3" t="inlineStr">
        <is>
          <t>spend cut / total AI spend (accel-only; upside if DC scales)</t>
        </is>
      </c>
    </row>
    <row r="40">
      <c r="A40" s="1" t="inlineStr">
        <is>
          <t>SOURCES &amp; REFERENCES</t>
        </is>
      </c>
      <c r="B40" s="2" t="n"/>
      <c r="C40" s="2" t="n"/>
      <c r="D40" s="2" t="n"/>
    </row>
    <row r="41">
      <c r="A41" s="3" t="inlineStr">
        <is>
          <t>FY25 capex $21.2B; FY26 ~$50B guide on $67B rev (CIO Dive)</t>
        </is>
      </c>
      <c r="B41" s="22" t="inlineStr">
        <is>
          <t>https://www.ciodive.com/news/oracle-capex-spike-cloud-ai-data-center/807721/</t>
        </is>
      </c>
    </row>
    <row r="42">
      <c r="A42" s="3" t="inlineStr">
        <is>
          <t>OCI run-rate ~$27B exiting FY25; IaaS $3.0B Q4 +52%; RPO $138B (Q4 FY25)</t>
        </is>
      </c>
      <c r="B42" s="22" t="inlineStr">
        <is>
          <t>https://futurumgroup.com/insights/oracle-delivers-q4-fy-2025-results-with-27-cloud-growth-rpo-hits-138-billion/</t>
        </is>
      </c>
    </row>
    <row r="43">
      <c r="A43" s="3" t="inlineStr">
        <is>
          <t>FY26 OCI +77% to ~$18B; RPO $523B +433% on AI deals (Q2 FY26)</t>
        </is>
      </c>
      <c r="B43" s="22" t="inlineStr">
        <is>
          <t>https://futurumgroup.com/insights/oracle-q2-fy-2026-cloud-grows-capex-rises-for-ai-buildout/</t>
        </is>
      </c>
    </row>
  </sheetData>
  <mergeCells count="3">
    <mergeCell ref="B42:D42"/>
    <mergeCell ref="B41:D41"/>
    <mergeCell ref="B43:D43"/>
  </mergeCells>
  <hyperlinks>
    <hyperlink xmlns:r="http://schemas.openxmlformats.org/officeDocument/2006/relationships" ref="B41" r:id="rId1"/>
    <hyperlink xmlns:r="http://schemas.openxmlformats.org/officeDocument/2006/relationships" ref="B42" r:id="rId2"/>
    <hyperlink xmlns:r="http://schemas.openxmlformats.org/officeDocument/2006/relationships" ref="B43" r:id="rId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54" customWidth="1" min="4" max="4"/>
  </cols>
  <sheetData>
    <row r="1">
      <c r="A1" s="1" t="inlineStr">
        <is>
          <t>SpaceX — accelerator capex &amp; value (FY2025 actual + FY2026 estimate)</t>
        </is>
      </c>
      <c r="B1" s="2" t="n"/>
      <c r="C1" s="2" t="n"/>
      <c r="D1" s="2" t="n"/>
    </row>
    <row r="2">
      <c r="A2" s="8" t="inlineStr">
        <is>
          <t>Metric</t>
        </is>
      </c>
      <c r="B2" s="8" t="inlineStr">
        <is>
          <t>FY2025</t>
        </is>
      </c>
      <c r="C2" s="8" t="inlineStr">
        <is>
          <t>FY2026</t>
        </is>
      </c>
      <c r="D2" s="8" t="inlineStr">
        <is>
          <t>basis / source</t>
        </is>
      </c>
    </row>
    <row r="3">
      <c r="A3" t="inlineStr">
        <is>
          <t>Total capex ($B)</t>
        </is>
      </c>
      <c r="B3" s="14" t="n">
        <v>12.7</v>
      </c>
      <c r="C3" s="15" t="n">
        <v>55</v>
      </c>
      <c r="D3" s="3" t="inlineStr">
        <is>
          <t>FY25 S-1 AI capex $12.7B [DISCLOSED]; FY26 ~$55B EST from H1'26 DISCLOSED $23.5B (Q1 $7.7B, Q2 $15.8B; 82.7% of total capex) + company guiding capex roughly flat Q3/Q4. ~all accelerator (greenfield COLOSSUS I/II). AI rev ~0 today; Anthropic (up to $1.25B/mo) and Google (up to $920M/mo) compute deals ramp from 2027.</t>
        </is>
      </c>
    </row>
    <row r="4">
      <c r="A4" t="inlineStr">
        <is>
          <t>Infra / data-center share</t>
        </is>
      </c>
      <c r="B4" s="16" t="n">
        <v>1</v>
      </c>
      <c r="C4" s="16" t="n">
        <v>1</v>
      </c>
      <c r="D4" s="3" t="inlineStr">
        <is>
          <t>strips non-AI (Amazon = AWS only)</t>
        </is>
      </c>
    </row>
    <row r="5">
      <c r="A5" t="inlineStr">
        <is>
          <t>Server / short-lived share</t>
        </is>
      </c>
      <c r="B5" s="16" t="n">
        <v>0.79</v>
      </c>
      <c r="C5" s="16" t="n">
        <v>0.79</v>
      </c>
      <c r="D5" s="3" t="inlineStr">
        <is>
          <t>CFO-disclosed (MSFT rose 50%-&gt;67%)</t>
        </is>
      </c>
    </row>
    <row r="6">
      <c r="A6" t="inlineStr">
        <is>
          <t>Accelerator share within servers</t>
        </is>
      </c>
      <c r="B6" s="16" t="n">
        <v>1</v>
      </c>
      <c r="C6" s="16" t="n">
        <v>1</v>
      </c>
      <c r="D6" s="3" t="inlineStr">
        <is>
          <t>from BOM teardowns (~67-80%)</t>
        </is>
      </c>
    </row>
    <row r="7">
      <c r="A7" t="inlineStr">
        <is>
          <t>Market cap ($B, approx)</t>
        </is>
      </c>
      <c r="B7" s="17" t="n">
        <v>1950</v>
      </c>
      <c r="D7" s="3" t="inlineStr">
        <is>
          <t>approximate June 2026 market data -- edit</t>
        </is>
      </c>
    </row>
    <row r="9">
      <c r="A9" s="1" t="inlineStr">
        <is>
          <t>DERIVATION</t>
        </is>
      </c>
      <c r="B9" s="2" t="n"/>
      <c r="C9" s="2" t="n"/>
      <c r="D9" s="2" t="n"/>
    </row>
    <row r="10">
      <c r="A10" t="inlineStr">
        <is>
          <t>AI-infra capex ($B)</t>
        </is>
      </c>
      <c r="B10" s="5">
        <f>B3*B4</f>
        <v/>
      </c>
      <c r="C10" s="5">
        <f>C3*C4</f>
        <v/>
      </c>
      <c r="D10" s="3" t="inlineStr">
        <is>
          <t>total x infra share</t>
        </is>
      </c>
    </row>
    <row r="11">
      <c r="A11" t="inlineStr">
        <is>
          <t>Server bucket ($B)</t>
        </is>
      </c>
      <c r="B11" s="5">
        <f>B10*B5</f>
        <v/>
      </c>
      <c r="C11" s="5">
        <f>C10*C5</f>
        <v/>
      </c>
      <c r="D11" s="3" t="inlineStr">
        <is>
          <t>infra x server share</t>
        </is>
      </c>
    </row>
    <row r="12">
      <c r="A12" s="8" t="inlineStr">
        <is>
          <t>ACCELERATOR capex ($B)</t>
        </is>
      </c>
      <c r="B12" s="6">
        <f>B11*B6</f>
        <v/>
      </c>
      <c r="C12" s="6">
        <f>C11*C6</f>
        <v/>
      </c>
      <c r="D12" s="3" t="inlineStr">
        <is>
          <t>server x accel share</t>
        </is>
      </c>
    </row>
    <row r="13">
      <c r="A13" t="inlineStr">
        <is>
          <t>Accel % of total capex</t>
        </is>
      </c>
      <c r="B13" s="7">
        <f>B12/B3</f>
        <v/>
      </c>
      <c r="C13" s="7">
        <f>C12/C3</f>
        <v/>
      </c>
      <c r="D13" s="3" t="inlineStr">
        <is>
          <t>varies across companies</t>
        </is>
      </c>
    </row>
    <row r="15">
      <c r="A15" s="1" t="inlineStr">
        <is>
          <t>FLEET &amp; OPERATING COST (from accelerator capex)</t>
        </is>
      </c>
      <c r="B15" s="2" t="n"/>
      <c r="C15" s="2" t="n"/>
      <c r="D15" s="2" t="n"/>
    </row>
    <row r="16">
      <c r="A16" t="inlineStr">
        <is>
          <t>Fleet size (GPU-equiv)</t>
        </is>
      </c>
      <c r="B16" s="18">
        <f>B12*1000000000/Inputs!$B$7</f>
        <v/>
      </c>
      <c r="C16" s="18">
        <f>C12*1000000000/Inputs!$B$7</f>
        <v/>
      </c>
      <c r="D16" s="3" t="inlineStr">
        <is>
          <t>accel capex / $ per GPU</t>
        </is>
      </c>
    </row>
    <row r="17">
      <c r="A17" t="inlineStr">
        <is>
          <t>Total wall power (MW)</t>
        </is>
      </c>
      <c r="B17" s="18">
        <f>B16*Inputs!$B$8/1000</f>
        <v/>
      </c>
      <c r="C17" s="18">
        <f>C16*Inputs!$B$8/1000</f>
        <v/>
      </c>
      <c r="D17" s="3" t="inlineStr">
        <is>
          <t>GPUs x kW</t>
        </is>
      </c>
    </row>
    <row r="18">
      <c r="A18" t="inlineStr">
        <is>
          <t>Daily energy (MWh)</t>
        </is>
      </c>
      <c r="B18" s="18">
        <f>B17*24</f>
        <v/>
      </c>
      <c r="C18" s="18">
        <f>C17*24</f>
        <v/>
      </c>
      <c r="D18" s="3" t="inlineStr"/>
    </row>
    <row r="19">
      <c r="A19" t="inlineStr">
        <is>
          <t>Daily all-in opex ($/day)</t>
        </is>
      </c>
      <c r="B19" s="18">
        <f>B18*1000*Inputs!$B$9*(1+Inputs!$B$10)</f>
        <v/>
      </c>
      <c r="C19" s="18">
        <f>C18*1000*Inputs!$B$9*(1+Inputs!$B$10)</f>
        <v/>
      </c>
      <c r="D19" s="3" t="inlineStr">
        <is>
          <t>MWh x rate x (1+overhead)</t>
        </is>
      </c>
    </row>
    <row r="20">
      <c r="A20" t="inlineStr">
        <is>
          <t>Annual opex ($M)</t>
        </is>
      </c>
      <c r="B20" s="5">
        <f>B19*365/1000000</f>
        <v/>
      </c>
      <c r="C20" s="5">
        <f>C19*365/1000000</f>
        <v/>
      </c>
      <c r="D20" s="3" t="inlineStr"/>
    </row>
    <row r="21">
      <c r="A21" t="inlineStr">
        <is>
          <t>Lifetime opex ($B)</t>
        </is>
      </c>
      <c r="B21" s="19">
        <f>B20*Inputs!$B$11/1000</f>
        <v/>
      </c>
      <c r="C21" s="19">
        <f>C20*Inputs!$B$11/1000</f>
        <v/>
      </c>
      <c r="D21" s="3" t="inlineStr"/>
    </row>
    <row r="23">
      <c r="A23" s="1" t="inlineStr">
        <is>
          <t>EFFICIENT VERSION &amp; VALUE</t>
        </is>
      </c>
      <c r="B23" s="2" t="n"/>
      <c r="C23" s="2" t="n"/>
      <c r="D23" s="2" t="n"/>
    </row>
    <row r="24">
      <c r="A24" t="inlineStr">
        <is>
          <t>Efficient AI capex ($B)</t>
        </is>
      </c>
      <c r="B24" s="5">
        <f>B10-B25</f>
        <v/>
      </c>
      <c r="C24" s="5">
        <f>C10-C25</f>
        <v/>
      </c>
      <c r="D24" s="3" t="inlineStr">
        <is>
          <t>AI capex - avoided</t>
        </is>
      </c>
    </row>
    <row r="25">
      <c r="A25" t="inlineStr">
        <is>
          <t>Capex avoided/yr ($B)</t>
        </is>
      </c>
      <c r="B25" s="5">
        <f>(B12+(B10-B12)*Inputs!$B$13)*(1-1/Inputs!$B$20)</f>
        <v/>
      </c>
      <c r="C25" s="5">
        <f>(C12+(C10-C12)*Inputs!$B$13)*(1-1/Inputs!$B$20)</f>
        <v/>
      </c>
      <c r="D25" s="3" t="inlineStr">
        <is>
          <t>accel + (datacenter x dc-scale), all x (1-1/reduction)</t>
        </is>
      </c>
    </row>
    <row r="26">
      <c r="A26" t="inlineStr">
        <is>
          <t>Annual opex savings ($M)</t>
        </is>
      </c>
      <c r="B26" s="5">
        <f>B20*(1-1/Inputs!$B$5)</f>
        <v/>
      </c>
      <c r="C26" s="5">
        <f>C20*(1-1/Inputs!$B$5)</f>
        <v/>
      </c>
      <c r="D26" s="3" t="inlineStr"/>
    </row>
    <row r="27">
      <c r="A27" t="inlineStr">
        <is>
          <t>Sustained annual benefit ($B/yr)</t>
        </is>
      </c>
      <c r="B27" s="20">
        <f>B25+B26/1000</f>
        <v/>
      </c>
      <c r="C27" s="20">
        <f>C25+C26/1000</f>
        <v/>
      </c>
      <c r="D27" s="3" t="inlineStr">
        <is>
          <t>avoided + opex savings</t>
        </is>
      </c>
    </row>
    <row r="28">
      <c r="A28" s="8" t="inlineStr">
        <is>
          <t>Capitalized value ($B)</t>
        </is>
      </c>
      <c r="B28" s="13">
        <f>B27/Inputs!$B$6</f>
        <v/>
      </c>
      <c r="C28" s="13">
        <f>C27/Inputs!$B$6</f>
        <v/>
      </c>
      <c r="D28" s="3" t="inlineStr">
        <is>
          <t>benefit / discount rate</t>
        </is>
      </c>
    </row>
    <row r="29">
      <c r="A29" t="inlineStr">
        <is>
          <t>% of market cap</t>
        </is>
      </c>
      <c r="B29" s="21">
        <f>B28/$B$7</f>
        <v/>
      </c>
      <c r="C29" s="21">
        <f>C28/$B$7</f>
        <v/>
      </c>
      <c r="D29" s="3" t="inlineStr"/>
    </row>
    <row r="31">
      <c r="A31" s="1" t="inlineStr">
        <is>
          <t>AI ECONOMICS (cash basis: AI revenue - AI capex - AI opex)</t>
        </is>
      </c>
      <c r="B31" s="2" t="n"/>
      <c r="C31" s="2" t="n"/>
      <c r="D31" s="2" t="n"/>
    </row>
    <row r="32">
      <c r="A32" t="inlineStr">
        <is>
          <t>AI revenue ($B)</t>
        </is>
      </c>
      <c r="B32" s="15" t="n">
        <v>0.3</v>
      </c>
      <c r="C32" s="15" t="n">
        <v>1</v>
      </c>
      <c r="D32" s="3" t="inlineStr">
        <is>
          <t>ESTIMATE (see Methodology). MSFT $37B &amp; Amazon $15B run-rates disclosed; Google/Meta/SpaceX estimated.</t>
        </is>
      </c>
    </row>
    <row r="33">
      <c r="A33" t="inlineStr">
        <is>
          <t>AI capex ($B)</t>
        </is>
      </c>
      <c r="B33" s="5">
        <f>B10</f>
        <v/>
      </c>
      <c r="C33" s="5">
        <f>C10</f>
        <v/>
      </c>
      <c r="D33" s="3" t="inlineStr">
        <is>
          <t>AI-infra capex (full: accel + buildings + power + net)</t>
        </is>
      </c>
    </row>
    <row r="34">
      <c r="A34" t="inlineStr">
        <is>
          <t>AI opex ($B)</t>
        </is>
      </c>
      <c r="B34" s="5">
        <f>B20/1000</f>
        <v/>
      </c>
      <c r="C34" s="5">
        <f>C20/1000</f>
        <v/>
      </c>
      <c r="D34" s="3" t="inlineStr">
        <is>
          <t>annual power/operating</t>
        </is>
      </c>
    </row>
    <row r="35">
      <c r="A35" s="8" t="inlineStr">
        <is>
          <t>Net AI NOW ($B)</t>
        </is>
      </c>
      <c r="B35" s="6">
        <f>B32-B33-B34</f>
        <v/>
      </c>
      <c r="C35" s="6">
        <f>C32-C33-C34</f>
        <v/>
      </c>
      <c r="D35" s="3" t="inlineStr">
        <is>
          <t>revenue - capex - opex (cash burn)</t>
        </is>
      </c>
    </row>
    <row r="36">
      <c r="A36" t="inlineStr">
        <is>
          <t>Spend cut, our arch ($B)</t>
        </is>
      </c>
      <c r="B36" s="5">
        <f>B27</f>
        <v/>
      </c>
      <c r="C36" s="5">
        <f>C27</f>
        <v/>
      </c>
      <c r="D36" s="3" t="inlineStr">
        <is>
          <t>accel capex avoided + opex saved</t>
        </is>
      </c>
    </row>
    <row r="37">
      <c r="A37" s="8" t="inlineStr">
        <is>
          <t>Net AI WITH our arch ($B)</t>
        </is>
      </c>
      <c r="B37" s="6">
        <f>B35+B36</f>
        <v/>
      </c>
      <c r="C37" s="6">
        <f>C35+C36</f>
        <v/>
      </c>
      <c r="D37" s="3" t="inlineStr">
        <is>
          <t>Net AI now + spend cut</t>
        </is>
      </c>
    </row>
    <row r="38">
      <c r="A38" t="inlineStr">
        <is>
          <t>% AI spend reduction</t>
        </is>
      </c>
      <c r="B38" s="7">
        <f>B36/(B33+B34)</f>
        <v/>
      </c>
      <c r="C38" s="7">
        <f>C36/(C33+C34)</f>
        <v/>
      </c>
      <c r="D38" s="3" t="inlineStr">
        <is>
          <t>spend cut / total AI spend (accel-only; upside if DC scales)</t>
        </is>
      </c>
    </row>
    <row r="40">
      <c r="A40" s="1" t="inlineStr">
        <is>
          <t>SOURCES &amp; REFERENCES</t>
        </is>
      </c>
      <c r="B40" s="2" t="n"/>
      <c r="C40" s="2" t="n"/>
      <c r="D40" s="2" t="n"/>
    </row>
    <row r="41">
      <c r="A41" s="3" t="inlineStr">
        <is>
          <t>S-1 registration statement (SEC EDGAR)</t>
        </is>
      </c>
      <c r="B41" s="22" t="inlineStr">
        <is>
          <t>https://www.sec.gov/Archives/edgar/data/1181412/000162828026036936/spaceexplorationtechnologi.htm</t>
        </is>
      </c>
    </row>
    <row r="42">
      <c r="A42" s="3" t="inlineStr">
        <is>
          <t>S-1 financials &amp; AI breakdown (Hargreaves Lansdown)</t>
        </is>
      </c>
      <c r="B42" s="22" t="inlineStr">
        <is>
          <t>https://www.hl.co.uk/news/inside-spacexs-ipo-filing-revenue-starlink-ai-and-key-financials</t>
        </is>
      </c>
    </row>
    <row r="43">
      <c r="A43" s="3" t="inlineStr">
        <is>
          <t>$12.7B AI capex = ~60% of capex; COLOSSUS buildout (Investing.com)</t>
        </is>
      </c>
      <c r="B43" s="22" t="inlineStr">
        <is>
          <t>https://www.investing.com/analysis/spacex-is-quietly-becoming-an-ai-compute-and-orbital-infrastructure-company-200681776</t>
        </is>
      </c>
    </row>
    <row r="44">
      <c r="A44" s="3" t="inlineStr">
        <is>
          <t>AI1 orbital data centers; Anthropic as compute customer (DCD)</t>
        </is>
      </c>
      <c r="B44" s="22" t="inlineStr">
        <is>
          <t>https://www.datacenterdynamics.com/en/news/spacex-ipo-musks-firm-set-to-launch-first-orbital-data-center-ai1-satellites-in-2027-will-put-compute-on-starlink-craft/</t>
        </is>
      </c>
    </row>
  </sheetData>
  <mergeCells count="4">
    <mergeCell ref="B42:D42"/>
    <mergeCell ref="B41:D41"/>
    <mergeCell ref="B44:D44"/>
    <mergeCell ref="B43:D43"/>
  </mergeCells>
  <hyperlinks>
    <hyperlink xmlns:r="http://schemas.openxmlformats.org/officeDocument/2006/relationships" ref="B41" r:id="rId1"/>
    <hyperlink xmlns:r="http://schemas.openxmlformats.org/officeDocument/2006/relationships" ref="B42" r:id="rId2"/>
    <hyperlink xmlns:r="http://schemas.openxmlformats.org/officeDocument/2006/relationships" ref="B43" r:id="rId3"/>
    <hyperlink xmlns:r="http://schemas.openxmlformats.org/officeDocument/2006/relationships" ref="B44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8" customWidth="1" min="3" max="3"/>
    <col width="76" customWidth="1" min="4" max="4"/>
  </cols>
  <sheetData>
    <row r="1">
      <c r="A1" s="1" t="inlineStr">
        <is>
          <t>GLOBAL INPUTS  —  edit yellow (assumption) cells; green = disclosed/market data</t>
        </is>
      </c>
      <c r="B1" s="2" t="n"/>
      <c r="C1" s="2" t="n"/>
      <c r="D1" s="2" t="n"/>
    </row>
    <row r="2">
      <c r="A2" t="inlineStr">
        <is>
          <t>Memory reduction factor</t>
        </is>
      </c>
      <c r="B2" s="23" t="n">
        <v>100</v>
      </c>
      <c r="C2" t="inlineStr">
        <is>
          <t>x</t>
        </is>
      </c>
      <c r="D2" s="3" t="inlineStr">
        <is>
          <t>1e-2 memory = 100x less (RNN O(1) state vs transformer O(T) KV cache).</t>
        </is>
      </c>
    </row>
    <row r="3">
      <c r="A3" t="inlineStr">
        <is>
          <t>FLOPs reduction factor</t>
        </is>
      </c>
      <c r="B3" s="23">
        <f>$B$24</f>
        <v/>
      </c>
      <c r="C3" t="inlineStr">
        <is>
          <t>x</t>
        </is>
      </c>
      <c r="D3" s="3" t="inlineStr">
        <is>
          <t>TODAY scenario (default) = x9.24: the measured workload blend x2.19 (10:1 input:output, 64k context; prefill x1.17, decode x2.20 on the memory ceiling; training excluded) x the fit-derived equal-quality parameter ratio x4.22 at 1T (rows 23-25 below). Overtype with =B25 for the CEILING scenario (x22.1 = measured prefill x4.02 x 5.5 kernel speedup), or any number. See ServingTraining for the blend.</t>
        </is>
      </c>
    </row>
    <row r="4">
      <c r="A4" t="inlineStr">
        <is>
          <t>Memory share of GPU cost (BOM)</t>
        </is>
      </c>
      <c r="B4" s="24" t="n">
        <v>0.6</v>
      </c>
      <c r="C4" t="inlineStr">
        <is>
          <t>frac</t>
        </is>
      </c>
      <c r="D4" s="3" t="inlineStr">
        <is>
          <t>HBM ~45% of B200 COGS + most CoWoS packaging -&gt; ~60% memory / ~40% compute. See Evidence.</t>
        </is>
      </c>
    </row>
    <row r="5">
      <c r="A5" t="inlineStr">
        <is>
          <t>Opex / energy reduction factor</t>
        </is>
      </c>
      <c r="B5" s="23">
        <f>B20</f>
        <v/>
      </c>
      <c r="C5" t="inlineStr">
        <is>
          <t>x</t>
        </is>
      </c>
      <c r="D5" s="3" t="inlineStr">
        <is>
          <t>DERIVED default = cost-weighted reduction (B20): energy splits memory/compute like cost. Overtype this cell to override.</t>
        </is>
      </c>
    </row>
    <row r="6">
      <c r="A6" t="inlineStr">
        <is>
          <t>Discount rate</t>
        </is>
      </c>
      <c r="B6" s="24" t="n">
        <v>0.06</v>
      </c>
      <c r="C6" t="inlineStr">
        <is>
          <t>frac</t>
        </is>
      </c>
      <c r="D6" s="3" t="inlineStr">
        <is>
          <t>Perpetuity capitalization: value = annual benefit / rate (=16.7x at 6%).</t>
        </is>
      </c>
    </row>
    <row r="7">
      <c r="A7" t="inlineStr">
        <is>
          <t>Fully-loaded cost per GPU</t>
        </is>
      </c>
      <c r="B7" s="25" t="n">
        <v>50000</v>
      </c>
      <c r="C7" t="inlineStr">
        <is>
          <t>$</t>
        </is>
      </c>
      <c r="D7" s="3" t="inlineStr">
        <is>
          <t>B200-class GPU + share of server, NVLink, networking.</t>
        </is>
      </c>
    </row>
    <row r="8">
      <c r="A8" t="inlineStr">
        <is>
          <t>Wall power per GPU</t>
        </is>
      </c>
      <c r="B8" s="23" t="n">
        <v>1.8</v>
      </c>
      <c r="C8" t="inlineStr">
        <is>
          <t>kW</t>
        </is>
      </c>
      <c r="D8" s="3" t="inlineStr">
        <is>
          <t>~1 kW TDP + node overhead x PUE 1.3.</t>
        </is>
      </c>
    </row>
    <row r="9">
      <c r="A9" t="inlineStr">
        <is>
          <t>Electricity rate</t>
        </is>
      </c>
      <c r="B9" s="23" t="n">
        <v>0.08</v>
      </c>
      <c r="C9" t="inlineStr">
        <is>
          <t>$/kWh</t>
        </is>
      </c>
      <c r="D9" s="3" t="inlineStr">
        <is>
          <t>Datacenter wholesale; raise to 0.10-0.12 for grid colo.</t>
        </is>
      </c>
    </row>
    <row r="10">
      <c r="A10" t="inlineStr">
        <is>
          <t>Cooling/ops overhead on energy</t>
        </is>
      </c>
      <c r="B10" s="24" t="n">
        <v>0.25</v>
      </c>
      <c r="C10" t="inlineStr">
        <is>
          <t>frac</t>
        </is>
      </c>
      <c r="D10" s="3" t="inlineStr">
        <is>
          <t>Non-power running cost as fraction of electricity.</t>
        </is>
      </c>
    </row>
    <row r="11">
      <c r="A11" t="inlineStr">
        <is>
          <t>Fleet useful life</t>
        </is>
      </c>
      <c r="B11" s="23" t="n">
        <v>4</v>
      </c>
      <c r="C11" t="inlineStr">
        <is>
          <t>yr</t>
        </is>
      </c>
      <c r="D11" s="3" t="inlineStr">
        <is>
          <t>AI-GPU depreciation life.</t>
        </is>
      </c>
    </row>
    <row r="12">
      <c r="A12" t="inlineStr">
        <is>
          <t>SpaceX market cap</t>
        </is>
      </c>
      <c r="B12" s="26" t="n">
        <v>1950</v>
      </c>
      <c r="C12" t="inlineStr">
        <is>
          <t>$B</t>
        </is>
      </c>
      <c r="D12" s="3" t="inlineStr">
        <is>
          <t>~$1.84T Aug 2026; IPO 2026-06-12 at ~$1.77T (market data; used by Sensitivity).</t>
        </is>
      </c>
    </row>
    <row r="13">
      <c r="A13" t="inlineStr">
        <is>
          <t>Datacenter scaling factor</t>
        </is>
      </c>
      <c r="B13" s="24" t="n">
        <v>0</v>
      </c>
      <c r="C13" t="inlineStr">
        <is>
          <t>frac</t>
        </is>
      </c>
      <c r="D13" s="3" t="inlineStr">
        <is>
          <t>TOGGLE 0-1. 0 = conservative (only accelerator silicon shrinks). 1 = whole AI datacenter (building/power/cooling/net) scales with the smaller fleet. ~0.7 ~= breakeven on net AI.</t>
        </is>
      </c>
    </row>
    <row r="14">
      <c r="A14" t="inlineStr">
        <is>
          <t>Named share of global AI capex</t>
        </is>
      </c>
      <c r="B14" s="24" t="n">
        <v>0.8</v>
      </c>
      <c r="C14" t="inlineStr">
        <is>
          <t>frac</t>
        </is>
      </c>
      <c r="D14" s="3" t="inlineStr">
        <is>
          <t>GLOBAL estimate (Totals): named firms' share of worldwide AI capex; the rest (other clouds, China, neoclouds, xAI, sovereign) is grossed up pro-rata. ESTIMATE.</t>
        </is>
      </c>
    </row>
    <row r="15">
      <c r="A15" s="1" t="inlineStr">
        <is>
          <t>REDUCTION ENGINE (Amdahl cost-weighting) — derived</t>
        </is>
      </c>
      <c r="B15" s="2" t="n"/>
      <c r="C15" s="2" t="n"/>
      <c r="D15" s="2" t="n"/>
    </row>
    <row r="16">
      <c r="A16" t="inlineStr">
        <is>
          <t>Compute share of GPU cost</t>
        </is>
      </c>
      <c r="B16" s="21">
        <f>1-B4</f>
        <v/>
      </c>
      <c r="D16" s="3" t="inlineStr">
        <is>
          <t>1 - memory share</t>
        </is>
      </c>
    </row>
    <row r="17">
      <c r="A17" t="inlineStr">
        <is>
          <t>Memory cost fraction after reduction</t>
        </is>
      </c>
      <c r="B17" s="27">
        <f>B4/B2</f>
        <v/>
      </c>
      <c r="D17" s="3" t="inlineStr">
        <is>
          <t>memory share / memory reduction</t>
        </is>
      </c>
    </row>
    <row r="18">
      <c r="A18" t="inlineStr">
        <is>
          <t>Compute cost fraction after reduction</t>
        </is>
      </c>
      <c r="B18" s="27">
        <f>B16/B3</f>
        <v/>
      </c>
      <c r="D18" s="3" t="inlineStr">
        <is>
          <t>compute share / FLOPs reduction</t>
        </is>
      </c>
    </row>
    <row r="19">
      <c r="A19" t="inlineStr">
        <is>
          <t>Residual cost fraction</t>
        </is>
      </c>
      <c r="B19" s="21">
        <f>B17+B18</f>
        <v/>
      </c>
      <c r="D19" s="3" t="inlineStr">
        <is>
          <t>Amdahl: floored by the least-reduced component</t>
        </is>
      </c>
    </row>
    <row r="20">
      <c r="A20" s="8" t="inlineStr">
        <is>
          <t>COST-WEIGHTED reduction factor</t>
        </is>
      </c>
      <c r="B20" s="12">
        <f>1/B19</f>
        <v/>
      </c>
      <c r="C20" t="inlineStr">
        <is>
          <t>x</t>
        </is>
      </c>
      <c r="D20" s="3" t="inlineStr">
        <is>
          <t>1 / residual. The realistic $ reduction used everywhere.</t>
        </is>
      </c>
    </row>
    <row r="22">
      <c r="A22" s="1" t="inlineStr">
        <is>
          <t>SCENARIOS (2026-08-17 ruling) — TODAY (default) vs CEILING</t>
        </is>
      </c>
      <c r="B22" s="2" t="n"/>
      <c r="C22" s="2" t="n"/>
      <c r="D22" s="2" t="n"/>
    </row>
    <row r="23">
      <c r="A23" t="inlineStr">
        <is>
          <t>Equal-quality parameter ratio at 1T</t>
        </is>
      </c>
      <c r="B23" s="28" t="n">
        <v>4.2185</v>
      </c>
      <c r="C23" t="inlineStr">
        <is>
          <t>x</t>
        </is>
      </c>
      <c r="D23" s="3" t="inlineStr">
        <is>
          <t>FIT-DERIVED (sealed 2026-08-14 refit): bAttention matches the transformer fit's quality on 23.7% of the params at 1T -&gt; x4.22 compute per token at equal quality. 84.2% at 1B, 55.2% at 10B, 36.2% at 100B. A projection of the two fits, not a measurement.</t>
        </is>
      </c>
    </row>
    <row r="24">
      <c r="A24" s="8" t="inlineStr">
        <is>
          <t>TODAY compute lever = blend x ratio</t>
        </is>
      </c>
      <c r="B24" s="29">
        <f>ServingTraining!$B$28*$B$23</f>
        <v/>
      </c>
      <c r="C24" t="inlineStr">
        <is>
          <t>x</t>
        </is>
      </c>
      <c r="D24" s="3" t="inlineStr">
        <is>
          <t>B3 (the FLOPs lever) points here by default.</t>
        </is>
      </c>
    </row>
    <row r="25">
      <c r="A25" t="inlineStr">
        <is>
          <t>CEILING compute lever</t>
        </is>
      </c>
      <c r="B25" s="28" t="n">
        <v>22.09</v>
      </c>
      <c r="C25" t="inlineStr">
        <is>
          <t>x</t>
        </is>
      </c>
      <c r="D25" s="3" t="inlineStr">
        <is>
          <t>Measured prefill x4.02 (bf16 parameter-matched, d512/1M, 2026-07-21) x 5.5 kernel-campaign speedup. Overtype B3 with =B25 to run the workbook at the ceiling (~41x cost-weighted).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8" customWidth="1" min="5" max="5"/>
  </cols>
  <sheetData>
    <row r="1">
      <c r="A1" s="1" t="inlineStr">
        <is>
          <t>SENSITIVITY (SpaceX) — TODAY vs CEILING vs live cost-weighted</t>
        </is>
      </c>
      <c r="B1" s="2" t="n"/>
      <c r="C1" s="2" t="n"/>
      <c r="D1" s="2" t="n"/>
      <c r="E1" s="2" t="n"/>
    </row>
    <row r="2">
      <c r="A2" s="8" t="inlineStr">
        <is>
          <t>Metric</t>
        </is>
      </c>
      <c r="B2" s="4" t="inlineStr">
        <is>
          <t>TODAY (~20x)</t>
        </is>
      </c>
      <c r="C2" s="4" t="inlineStr">
        <is>
          <t>CEILING (~41x)</t>
        </is>
      </c>
      <c r="D2" s="4" t="inlineStr">
        <is>
          <t>Cost-weighted (live)</t>
        </is>
      </c>
    </row>
    <row r="3">
      <c r="A3" t="inlineStr">
        <is>
          <t>Efficient acquisition ($B)</t>
        </is>
      </c>
      <c r="B3" s="19">
        <f>SpaceX!$B$12/(1/(Inputs!$B$4/Inputs!$B$2+(1-Inputs!$B$4)/Inputs!$B$24))</f>
        <v/>
      </c>
      <c r="C3" s="19">
        <f>SpaceX!$B$12/(1/(Inputs!$B$4/Inputs!$B$2+(1-Inputs!$B$4)/Inputs!$B$25))</f>
        <v/>
      </c>
      <c r="D3" s="19">
        <f>SpaceX!$B$12/(Inputs!$B$20)</f>
        <v/>
      </c>
    </row>
    <row r="4">
      <c r="A4" t="inlineStr">
        <is>
          <t>Capex avoided/yr ($B)</t>
        </is>
      </c>
      <c r="B4" s="19">
        <f>SpaceX!$B$12-SpaceX!$B$12/(1/(Inputs!$B$4/Inputs!$B$2+(1-Inputs!$B$4)/Inputs!$B$24))</f>
        <v/>
      </c>
      <c r="C4" s="19">
        <f>SpaceX!$B$12-SpaceX!$B$12/(1/(Inputs!$B$4/Inputs!$B$2+(1-Inputs!$B$4)/Inputs!$B$25))</f>
        <v/>
      </c>
      <c r="D4" s="19">
        <f>SpaceX!$B$12-SpaceX!$B$12/(Inputs!$B$20)</f>
        <v/>
      </c>
    </row>
    <row r="5">
      <c r="A5" t="inlineStr">
        <is>
          <t>Annual opex savings ($M)</t>
        </is>
      </c>
      <c r="B5" s="5">
        <f>SpaceX!$B$26</f>
        <v/>
      </c>
      <c r="C5" s="5">
        <f>SpaceX!$B$26</f>
        <v/>
      </c>
      <c r="D5" s="5">
        <f>SpaceX!$B$26</f>
        <v/>
      </c>
    </row>
    <row r="6">
      <c r="A6" t="inlineStr">
        <is>
          <t>Sustained annual benefit ($B)</t>
        </is>
      </c>
      <c r="B6" s="19">
        <f>(SpaceX!$B$12-SpaceX!$B$12/(1/(Inputs!$B$4/Inputs!$B$2+(1-Inputs!$B$4)/Inputs!$B$24)))+SpaceX!$B$26/1000</f>
        <v/>
      </c>
      <c r="C6" s="19">
        <f>(SpaceX!$B$12-SpaceX!$B$12/(1/(Inputs!$B$4/Inputs!$B$2+(1-Inputs!$B$4)/Inputs!$B$25)))+SpaceX!$B$26/1000</f>
        <v/>
      </c>
      <c r="D6" s="19">
        <f>(SpaceX!$B$12-SpaceX!$B$12/(Inputs!$B$20))+SpaceX!$B$26/1000</f>
        <v/>
      </c>
    </row>
    <row r="7">
      <c r="A7" t="inlineStr">
        <is>
          <t>Capitalized value ($B)</t>
        </is>
      </c>
      <c r="B7" s="18">
        <f>((SpaceX!$B$12-SpaceX!$B$12/(1/(Inputs!$B$4/Inputs!$B$2+(1-Inputs!$B$4)/Inputs!$B$24)))+SpaceX!$B$26/1000)/Inputs!$B$6</f>
        <v/>
      </c>
      <c r="C7" s="18">
        <f>((SpaceX!$B$12-SpaceX!$B$12/(1/(Inputs!$B$4/Inputs!$B$2+(1-Inputs!$B$4)/Inputs!$B$25)))+SpaceX!$B$26/1000)/Inputs!$B$6</f>
        <v/>
      </c>
      <c r="D7" s="18">
        <f>((SpaceX!$B$12-SpaceX!$B$12/(Inputs!$B$20))+SpaceX!$B$26/1000)/Inputs!$B$6</f>
        <v/>
      </c>
    </row>
    <row r="8">
      <c r="A8" t="inlineStr">
        <is>
          <t>% of market cap</t>
        </is>
      </c>
      <c r="B8" s="21">
        <f>(((SpaceX!$B$12-SpaceX!$B$12/(1/(Inputs!$B$4/Inputs!$B$2+(1-Inputs!$B$4)/Inputs!$B$24)))+SpaceX!$B$26/1000)/Inputs!$B$6)/Inputs!$B$12</f>
        <v/>
      </c>
      <c r="C8" s="21">
        <f>(((SpaceX!$B$12-SpaceX!$B$12/(1/(Inputs!$B$4/Inputs!$B$2+(1-Inputs!$B$4)/Inputs!$B$25)))+SpaceX!$B$26/1000)/Inputs!$B$6)/Inputs!$B$12</f>
        <v/>
      </c>
      <c r="D8" s="21">
        <f>(((SpaceX!$B$12-SpaceX!$B$12/(Inputs!$B$20))+SpaceX!$B$26/1000)/Inputs!$B$6)/Inputs!$B$12</f>
        <v/>
      </c>
    </row>
    <row r="10">
      <c r="A10" s="3" t="inlineStr">
        <is>
          <t>Base = SpaceX accelerator capex (SpaceX!B12), not total capex. The 'Cost-weighted' column ties to the SpaceX tab (B25/B27) at the conservative dc_scale=0.</t>
        </is>
      </c>
    </row>
  </sheetData>
  <mergeCells count="1">
    <mergeCell ref="A10:E1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62" customWidth="1" min="4" max="4"/>
  </cols>
  <sheetData>
    <row r="1">
      <c r="A1" s="1" t="inlineStr">
        <is>
          <t>COST LADDER — $/H100-equivalent GPU-hour (at scale). Green = market price; yellow = assumption.</t>
        </is>
      </c>
      <c r="B1" s="2" t="n"/>
      <c r="C1" s="2" t="n"/>
      <c r="D1" s="2" t="n"/>
    </row>
    <row r="2">
      <c r="A2" s="8" t="inlineStr">
        <is>
          <t>Procurement mode</t>
        </is>
      </c>
      <c r="B2" s="8" t="inlineStr">
        <is>
          <t>$/hr low</t>
        </is>
      </c>
      <c r="C2" s="8" t="inlineStr">
        <is>
          <t>$/hr high</t>
        </is>
      </c>
      <c r="D2" s="8" t="inlineStr">
        <is>
          <t>What's baked into the price</t>
        </is>
      </c>
    </row>
    <row r="3">
      <c r="A3" t="inlineStr">
        <is>
          <t>Own custom silicon (TPU/Trainium)</t>
        </is>
      </c>
      <c r="B3" s="30" t="n">
        <v>0.9</v>
      </c>
      <c r="C3" s="30" t="n">
        <v>1.4</v>
      </c>
      <c r="D3" s="3" t="inlineStr">
        <is>
          <t>COGS + modest Broadcom/Marvell margin + power + DC. NO NVIDIA margin.</t>
        </is>
      </c>
    </row>
    <row r="4">
      <c r="A4" t="inlineStr">
        <is>
          <t>Buy + operate NVIDIA (scale)</t>
        </is>
      </c>
      <c r="B4" s="30" t="n">
        <v>1.5</v>
      </c>
      <c r="C4" s="30" t="n">
        <v>2</v>
      </c>
      <c r="D4" s="3" t="inlineStr">
        <is>
          <t>NVIDIA ~84% gross margin baked into capex + power + DC.</t>
        </is>
      </c>
    </row>
    <row r="5">
      <c r="A5" t="inlineStr">
        <is>
          <t>Rent NVIDIA - neocloud / committed</t>
        </is>
      </c>
      <c r="B5" s="30" t="n">
        <v>2</v>
      </c>
      <c r="C5" s="30" t="n">
        <v>3.5</v>
      </c>
      <c r="D5" s="3" t="inlineStr">
        <is>
          <t>+ cloud provider capex recovery &amp; margin.</t>
        </is>
      </c>
    </row>
    <row r="6">
      <c r="A6" t="inlineStr">
        <is>
          <t>Rent NVIDIA - hyperscaler on-demand</t>
        </is>
      </c>
      <c r="B6" s="30" t="n">
        <v>3</v>
      </c>
      <c r="C6" s="30" t="n">
        <v>7</v>
      </c>
      <c r="D6" s="3" t="inlineStr">
        <is>
          <t>+ utilization risk + flexibility premium (new B200 to ~$14).</t>
        </is>
      </c>
    </row>
    <row r="8">
      <c r="A8" s="1" t="inlineStr">
        <is>
          <t>OWNED-NVIDIA TCO CROSS-CHECK (from Inputs)</t>
        </is>
      </c>
      <c r="B8" s="2" t="n"/>
      <c r="C8" s="2" t="n"/>
      <c r="D8" s="2" t="n"/>
    </row>
    <row r="9">
      <c r="A9" t="inlineStr">
        <is>
          <t>Utilization</t>
        </is>
      </c>
      <c r="B9" s="16" t="n">
        <v>0.85</v>
      </c>
    </row>
    <row r="10">
      <c r="A10" t="inlineStr">
        <is>
          <t>Capex $/hr</t>
        </is>
      </c>
      <c r="B10" s="19">
        <f>Inputs!$B$7/(Inputs!$B$11*8760*B9)</f>
        <v/>
      </c>
      <c r="D10" s="3" t="inlineStr">
        <is>
          <t>fully-loaded $/GPU / (life x 8760h x utilization)</t>
        </is>
      </c>
    </row>
    <row r="11">
      <c r="A11" t="inlineStr">
        <is>
          <t>Power $/hr</t>
        </is>
      </c>
      <c r="B11" s="19">
        <f>Inputs!$B$8*Inputs!$B$9</f>
        <v/>
      </c>
      <c r="D11" s="3" t="inlineStr">
        <is>
          <t>wall kW x $/kWh</t>
        </is>
      </c>
    </row>
    <row r="12">
      <c r="A12" t="inlineStr">
        <is>
          <t>DC/staff adder $/hr</t>
        </is>
      </c>
      <c r="B12" s="28" t="n">
        <v>0.3</v>
      </c>
    </row>
    <row r="13">
      <c r="A13" s="8" t="inlineStr">
        <is>
          <t>Owned TCO $/hr</t>
        </is>
      </c>
      <c r="B13" s="29">
        <f>B10+B11+B12</f>
        <v/>
      </c>
      <c r="D13" s="3" t="inlineStr">
        <is>
          <t>cross-checks the 'Buy + operate NVIDIA' row</t>
        </is>
      </c>
    </row>
    <row r="15">
      <c r="A15" s="3" t="inlineStr">
        <is>
          <t>MARGIN STACK: own-silicon -&gt; buy-NVIDIA ~1.4-2x (NVIDIA margin). buy -&gt; rent ~2-3.5x (cloud margin). own -&gt; rent ~3-5x.</t>
        </is>
      </c>
    </row>
    <row r="16">
      <c r="A16" s="3" t="inlineStr">
        <is>
          <t>B200 builds ~$6,400, sells ~$40,000 -&gt; ~84% gross margin. Hyperscalers charge 3-6x neocloud rates for identical HW.</t>
        </is>
      </c>
    </row>
    <row r="17">
      <c r="A17" s="3" t="inlineStr">
        <is>
          <t>OWN-SILICON: TPU/Trainium/MTIA cost ~1/3 less per useful FLOP than NVIDIA. The model values compute at each company's ACTUAL cost (no gross-up).</t>
        </is>
      </c>
    </row>
    <row r="18">
      <c r="A18" s="3" t="inlineStr">
        <is>
          <t>SemiAnalysis: TPU 20-50% lower TCO per useful FLOP vs GB200/GB300; Trainium3 ~30% better vs GB300.</t>
        </is>
      </c>
    </row>
    <row r="19">
      <c r="A19" s="3" t="inlineStr">
        <is>
          <t>Sources: Spheron/IntuitionLabs (rental), Silicon Analysts (B200 cost/margin), SemiAnalysis (TPU/Trainium TCO).</t>
        </is>
      </c>
    </row>
  </sheetData>
  <mergeCells count="5">
    <mergeCell ref="A17:D17"/>
    <mergeCell ref="A18:D18"/>
    <mergeCell ref="A15:D15"/>
    <mergeCell ref="A19:D19"/>
    <mergeCell ref="A16:D1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8" defaultRowHeight="15"/>
  <cols>
    <col width="44" customWidth="1" min="1" max="1"/>
    <col width="42" customWidth="1" min="2" max="2"/>
    <col width="30" customWidth="1" min="3" max="3"/>
    <col width="14" customWidth="1" min="4" max="4"/>
    <col width="12" customWidth="1" min="5" max="5"/>
    <col width="60" customWidth="1" min="6" max="6"/>
  </cols>
  <sheetData>
    <row r="1">
      <c r="A1" s="1" t="inlineStr">
        <is>
          <t>SERVING &amp; TRAINING — measured 2026-08-07/08 (2/4/8 x H100), priced at the CostLadder rent mid ($2.50/GPU-hr). Source: bdm/docs/deck/build/derived.json (keys in ai_capex_model.MEASURED).</t>
        </is>
      </c>
      <c r="B1" s="2" t="n"/>
      <c r="C1" s="2" t="n"/>
      <c r="D1" s="2" t="n"/>
      <c r="E1" s="2" t="n"/>
      <c r="F1" s="2" t="n"/>
    </row>
    <row r="4">
      <c r="A4" s="1" t="inlineStr">
        <is>
          <t>WORKLOAD — edit the yellow cells; every sheet recomputes</t>
        </is>
      </c>
      <c r="B4" s="2" t="n"/>
      <c r="C4" s="2" t="n"/>
      <c r="D4" s="2" t="n"/>
      <c r="E4" s="2" t="n"/>
      <c r="F4" s="2" t="n"/>
    </row>
    <row r="5">
      <c r="A5" s="3" t="inlineStr">
        <is>
          <t>Training, prefill and decode point in opposite directions at today's kernel maturity, so the compute lever is blended over the workload rather than fixed. Cost per GENERATED token = in:out input tokens through prefill + one token through decode. Transformer decode follows the MEASURED 1/context law at its own KV ceiling (granted no KV compression by default; raise the KV-compression cell below to grant it a mature stack).</t>
        </is>
      </c>
    </row>
    <row r="7">
      <c r="A7" t="inlineStr">
        <is>
          <t>Input : output token ratio</t>
        </is>
      </c>
      <c r="B7" s="23" t="n">
        <v>10</v>
      </c>
      <c r="F7" s="3" t="inlineStr">
        <is>
          <t>~10:1 = code / reasoning / agent traces. 50-100:1 = RAG and document QA.</t>
        </is>
      </c>
    </row>
    <row r="8">
      <c r="A8" t="inlineStr">
        <is>
          <t>E[context] (tokens)</t>
        </is>
      </c>
      <c r="B8" s="25" t="n">
        <v>65536</v>
      </c>
      <c r="F8" s="3" t="inlineStr">
        <is>
          <t>Our decode cost is context-flat and the transformer's is linear, so the decode advantage is linear in this.</t>
        </is>
      </c>
    </row>
    <row r="9">
      <c r="A9" t="inlineStr">
        <is>
          <t>Training share of accelerator cost</t>
        </is>
      </c>
      <c r="B9" s="28" t="n">
        <v>0</v>
      </c>
      <c r="F9" s="3" t="inlineStr">
        <is>
          <t>0 = a serving-cost claim. Training is a LOSS at short sequence today; above ~0.06 the blend drops below 1.</t>
        </is>
      </c>
    </row>
    <row r="11">
      <c r="A11" s="8" t="inlineStr">
        <is>
          <t>Measured constants</t>
        </is>
      </c>
    </row>
    <row r="12">
      <c r="A12" t="inlineStr">
        <is>
          <t>Owned decode, tokens/s/box (context-flat)</t>
        </is>
      </c>
      <c r="B12" s="17" t="n">
        <v>4496.668604837461</v>
      </c>
    </row>
    <row r="13">
      <c r="A13" t="inlineStr">
        <is>
          <t>KV MB per token per stream</t>
        </is>
      </c>
      <c r="B13" s="31" t="n">
        <v>0.15234375</v>
      </c>
    </row>
    <row r="14">
      <c r="A14" t="inlineStr">
        <is>
          <t>HBM TB/s per GPU</t>
        </is>
      </c>
      <c r="B14" s="28" t="n">
        <v>3.35</v>
      </c>
    </row>
    <row r="15">
      <c r="A15" t="inlineStr">
        <is>
          <t>Transformer KV compression (mature stack)</t>
        </is>
      </c>
      <c r="B15" s="23" t="n">
        <v>1</v>
      </c>
    </row>
    <row r="16">
      <c r="A16" t="inlineStr">
        <is>
          <t>GPUs per box</t>
        </is>
      </c>
      <c r="B16" s="32" t="n">
        <v>8</v>
      </c>
    </row>
    <row r="17">
      <c r="A17" t="inlineStr">
        <is>
          <t>Training advantage, short sequence (owned / transformer)</t>
        </is>
      </c>
      <c r="B17" s="33" t="n">
        <v>0.1041666666666667</v>
      </c>
      <c r="F17" s="3" t="inlineStr">
        <is>
          <t>Transformer is 9.6x faster at T=2048 blocks (d1152). Crossover near T~88,000.</t>
        </is>
      </c>
    </row>
    <row r="19">
      <c r="A19" s="8" t="inlineStr">
        <is>
          <t>Derived</t>
        </is>
      </c>
    </row>
    <row r="20">
      <c r="A20" t="inlineStr">
        <is>
          <t>KV GB per stream</t>
        </is>
      </c>
      <c r="B20" s="19">
        <f>$B$8*$B$13/1024</f>
        <v/>
      </c>
    </row>
    <row r="21">
      <c r="A21" t="inlineStr">
        <is>
          <t>KV GB per stream, compressed</t>
        </is>
      </c>
      <c r="B21" s="34">
        <f>$B$20/$B$15</f>
        <v/>
      </c>
    </row>
    <row r="22">
      <c r="A22" t="inlineStr">
        <is>
          <t>Transformer decode, tokens/s/box</t>
        </is>
      </c>
      <c r="B22" s="18">
        <f>511.8416*32768/$B$8*$B$15*$B$16</f>
        <v/>
      </c>
      <c r="F22" s="3" t="inlineStr">
        <is>
          <t>MEASURED 1/context law (2026-08-14 re-base): 511.84 tok/s/GPU at 32,768 ctx x 32768/E[context] x KV-compression x GPUs. Crosses our flat 562/GPU near ~30k context.</t>
        </is>
      </c>
    </row>
    <row r="23">
      <c r="A23" t="inlineStr">
        <is>
          <t>Prefill table row (lookup)</t>
        </is>
      </c>
      <c r="B23" s="35">
        <f>MATCH($B$8,$A$33:$A$39,1)</f>
        <v/>
      </c>
    </row>
    <row r="24">
      <c r="A24" t="inlineStr">
        <is>
          <t>Prefill tokens/s/box — transformer</t>
        </is>
      </c>
      <c r="B24" s="18">
        <f>IF(INDEX($B$33:$B$39,MIN($B$23+1,7))=INDEX($B$33:$B$39,$B$23),INDEX($B$33:$B$39,$B$23),EXP(LN(INDEX($B$33:$B$39,$B$23))+(LN($B$8)-LN(INDEX($A$33:$A$39,$B$23)))/(LN(INDEX($A$33:$A$39,MIN($B$23+1,7)))-LN(INDEX($A$33:$A$39,$B$23)))*(LN(INDEX($B$33:$B$39,MIN($B$23+1,7)))-LN(INDEX($B$33:$B$39,$B$23)))))*$B$16</f>
        <v/>
      </c>
    </row>
    <row r="25">
      <c r="A25" t="inlineStr">
        <is>
          <t>Prefill tokens/s/box — owned</t>
        </is>
      </c>
      <c r="B25" s="18">
        <f>IF(INDEX($C$33:$C$39,MIN($B$23+1,7))=INDEX($C$33:$C$39,$B$23),INDEX($C$33:$C$39,$B$23),EXP(LN(INDEX($C$33:$C$39,$B$23))+(LN($B$8)-LN(INDEX($A$33:$A$39,$B$23)))/(LN(INDEX($A$33:$A$39,MIN($B$23+1,7)))-LN(INDEX($A$33:$A$39,$B$23)))*(LN(INDEX($C$33:$C$39,MIN($B$23+1,7)))-LN(INDEX($C$33:$C$39,$B$23)))))*$B$16</f>
        <v/>
      </c>
    </row>
    <row r="26">
      <c r="A26" t="inlineStr">
        <is>
          <t>Transformer seconds per generated token</t>
        </is>
      </c>
      <c r="B26" s="36">
        <f>$B$7/$B$24+1/$B$22</f>
        <v/>
      </c>
    </row>
    <row r="27">
      <c r="A27" t="inlineStr">
        <is>
          <t>Owned seconds per generated token</t>
        </is>
      </c>
      <c r="B27" s="36">
        <f>$B$7/$B$25+1/$B$12</f>
        <v/>
      </c>
    </row>
    <row r="28">
      <c r="A28" s="8" t="inlineStr">
        <is>
          <t>BLENDED COMPUTE LEVER (flop_factor)</t>
        </is>
      </c>
      <c r="B28" s="29">
        <f>IF($B$9&gt;0,1/($B$9/$B$17+(1-$B$9)/($B$26/$B$27)),$B$26/$B$27)</f>
        <v/>
      </c>
      <c r="F28" s="3" t="inlineStr">
        <is>
          <t>Inputs!B24 (TODAY lever) = this x the equal-quality parameter ratio; Inputs!B3 follows it, so this drives the whole workbook.</t>
        </is>
      </c>
    </row>
    <row r="29">
      <c r="A29" t="inlineStr">
        <is>
          <t xml:space="preserve">  of which: prefill advantage</t>
        </is>
      </c>
      <c r="B29" s="19">
        <f>($B$7/$B$24)/($B$7/$B$25)</f>
        <v/>
      </c>
    </row>
    <row r="30">
      <c r="A30" t="inlineStr">
        <is>
          <t xml:space="preserve">  of which: decode advantage</t>
        </is>
      </c>
      <c r="B30" s="37">
        <f>(1/$B$22)/(1/$B$12)</f>
        <v/>
      </c>
    </row>
    <row r="32">
      <c r="A32" s="8" t="inlineStr">
        <is>
          <t>Measured prefill throughput, tokens/s/GPU (bf16 saturated lane, d2048)</t>
        </is>
      </c>
      <c r="D32" s="38" t="inlineStr">
        <is>
          <t>Context</t>
        </is>
      </c>
      <c r="E32" s="38" t="inlineStr">
        <is>
          <t>Transformer</t>
        </is>
      </c>
      <c r="F32" s="38" t="inlineStr">
        <is>
          <t>Owned</t>
        </is>
      </c>
    </row>
    <row r="33">
      <c r="A33" s="39" t="n">
        <v>2048</v>
      </c>
      <c r="B33" s="17" t="n">
        <v>4682606.88285999</v>
      </c>
      <c r="C33" s="17" t="n">
        <v>1185825</v>
      </c>
    </row>
    <row r="34">
      <c r="A34" s="39" t="n">
        <v>8192</v>
      </c>
      <c r="B34" s="17" t="n">
        <v>3450080</v>
      </c>
      <c r="C34" s="17" t="n">
        <v>1183690</v>
      </c>
    </row>
    <row r="35">
      <c r="A35" s="39" t="n">
        <v>32768</v>
      </c>
      <c r="B35" s="17" t="n">
        <v>1711802</v>
      </c>
      <c r="C35" s="17" t="n">
        <v>1186661</v>
      </c>
    </row>
    <row r="36">
      <c r="A36" s="39" t="n">
        <v>65536</v>
      </c>
      <c r="B36" s="17" t="n">
        <v>1007187</v>
      </c>
      <c r="C36" s="17" t="n">
        <v>1181622</v>
      </c>
    </row>
    <row r="37">
      <c r="A37" s="39" t="n">
        <v>131072</v>
      </c>
      <c r="B37" s="17" t="n">
        <v>541094</v>
      </c>
      <c r="C37" s="17" t="n">
        <v>978107</v>
      </c>
    </row>
    <row r="38">
      <c r="A38" s="39" t="n">
        <v>262144</v>
      </c>
      <c r="B38" s="17" t="n">
        <v>277474</v>
      </c>
      <c r="C38" s="17" t="n">
        <v>726142</v>
      </c>
    </row>
    <row r="39">
      <c r="A39" s="39" t="n">
        <v>524288</v>
      </c>
      <c r="B39" s="17" t="n">
        <v>140820</v>
      </c>
      <c r="C39" s="17" t="n">
        <v>478522</v>
      </c>
    </row>
    <row r="41">
      <c r="A41" s="3" t="inlineStr">
        <is>
          <t>SCOPE: the serving and training blocks below are component-scope systems benches (bAttention d1536 fwd+bwd h-recurrence sub-block vs transformer d2048 forward-only layer); every speedup there is each family vs its OWN 1-GPU baseline. The prefill lanes quoted further down are cross-family: 16-bit parameter-matched at block scope (the fp32 full-model sweep is retired to an assumption row).</t>
        </is>
      </c>
    </row>
    <row r="43">
      <c r="A43" s="1" t="inlineStr">
        <is>
          <t>Serving at long context — $/1M generated tokens, one 8xH100 box</t>
        </is>
      </c>
      <c r="B43" s="2" t="n"/>
      <c r="C43" s="2" t="n"/>
      <c r="D43" s="2" t="n"/>
      <c r="E43" s="2" t="n"/>
      <c r="F43" s="2" t="n"/>
    </row>
    <row r="44">
      <c r="A44" s="38" t="inlineStr">
        <is>
          <t>Context (tokens)</t>
        </is>
      </c>
      <c r="B44" s="38" t="inlineStr">
        <is>
          <t>bAttention $/1M tok</t>
        </is>
      </c>
      <c r="C44" s="38" t="inlineStr">
        <is>
          <t>Transformer $/1M tok (mature stack)</t>
        </is>
      </c>
      <c r="D44" s="38" t="inlineStr">
        <is>
          <t>TF streams/GPU</t>
        </is>
      </c>
      <c r="E44" s="38" t="inlineStr">
        <is>
          <t>Cost ratio</t>
        </is>
      </c>
      <c r="F44" s="38" t="inlineStr">
        <is>
          <t>Note</t>
        </is>
      </c>
    </row>
    <row r="45">
      <c r="A45" s="39" t="n">
        <v>4096</v>
      </c>
      <c r="B45" s="40" t="n">
        <v>1.235482541359387</v>
      </c>
      <c r="C45" s="41" t="n">
        <v>0.1695945640120853</v>
      </c>
      <c r="D45" s="35" t="n">
        <v>118</v>
      </c>
      <c r="E45" s="42" t="n">
        <v>0.1372698992779634</v>
      </c>
      <c r="F45" s="43" t="inlineStr"/>
    </row>
    <row r="46">
      <c r="A46" s="39" t="n">
        <v>16384</v>
      </c>
      <c r="B46" s="40" t="n">
        <v>1.235482541359387</v>
      </c>
      <c r="C46" s="41" t="n">
        <v>0.678378256048341</v>
      </c>
      <c r="D46" s="35" t="n">
        <v>29</v>
      </c>
      <c r="E46" s="42" t="n">
        <v>0.5490795971118535</v>
      </c>
      <c r="F46" s="43" t="inlineStr"/>
    </row>
    <row r="47">
      <c r="A47" s="39" t="n">
        <v>32768</v>
      </c>
      <c r="B47" s="40" t="n">
        <v>1.235482541359387</v>
      </c>
      <c r="C47" s="41" t="n">
        <v>1.356756512096682</v>
      </c>
      <c r="D47" s="35" t="n">
        <v>14</v>
      </c>
      <c r="E47" s="42" t="n">
        <v>1.098159194223707</v>
      </c>
      <c r="F47" s="43" t="inlineStr"/>
    </row>
    <row r="48">
      <c r="A48" s="39" t="n">
        <v>65536</v>
      </c>
      <c r="B48" s="40" t="n">
        <v>1.235482541359387</v>
      </c>
      <c r="C48" s="41" t="n">
        <v>2.713513024193364</v>
      </c>
      <c r="D48" s="35" t="n">
        <v>7</v>
      </c>
      <c r="E48" s="42" t="n">
        <v>2.196318388447414</v>
      </c>
      <c r="F48" s="43" t="inlineStr"/>
    </row>
    <row r="49">
      <c r="A49" s="39" t="n">
        <v>131072</v>
      </c>
      <c r="B49" s="40" t="n">
        <v>1.235482541359387</v>
      </c>
      <c r="C49" s="41" t="n">
        <v>5.427026048386728</v>
      </c>
      <c r="D49" s="35" t="n">
        <v>3</v>
      </c>
      <c r="E49" s="42" t="n">
        <v>4.392636776894828</v>
      </c>
      <c r="F49" s="43" t="inlineStr"/>
    </row>
    <row r="50">
      <c r="A50" s="39" t="n">
        <v>262144</v>
      </c>
      <c r="B50" s="40" t="n">
        <v>1.235482541359387</v>
      </c>
      <c r="C50" s="41" t="n">
        <v>10.85405209677346</v>
      </c>
      <c r="D50" s="35" t="n">
        <v>1</v>
      </c>
      <c r="E50" s="42" t="n">
        <v>8.785273553789656</v>
      </c>
      <c r="F50" s="43" t="inlineStr">
        <is>
          <t>a measured decode cell (64 streams/GPU against the transformer 1)</t>
        </is>
      </c>
    </row>
    <row r="51">
      <c r="A51" s="39" t="n">
        <v>1048576</v>
      </c>
      <c r="B51" s="44" t="n">
        <v>1.235482541359387</v>
      </c>
      <c r="C51" s="41" t="n">
        <v/>
      </c>
      <c r="D51" s="35" t="n">
        <v>0</v>
      </c>
      <c r="E51" s="42" t="n">
        <v/>
      </c>
      <c r="F51" s="43" t="inlineStr">
        <is>
          <t>bAttention rate extrapolated past 262k (flatness measured 4k-262k)</t>
        </is>
      </c>
    </row>
    <row r="52">
      <c r="A52" s="3" t="inlineStr">
        <is>
          <t>RE-BASED 2026-08-14 on the full-model decode receipt: per-GPU aggregate throughput at each family's own concurrency ceiling, transformer granted no KV compression. Ratio ~ context/29,800, so the TRANSFORMER is ahead below ~30k context; x2.2 at 64k, x8.8 at 262k. Memory-ceiling result, not a per-token one - at one stream and 64k the transformer decodes a token faster than we do. Granting it KV /8: x1.1 at 262k.</t>
        </is>
      </c>
    </row>
    <row r="54">
      <c r="A54" s="1" t="inlineStr">
        <is>
          <t>Training at scale — same cluster, more steps/s</t>
        </is>
      </c>
      <c r="B54" s="2" t="n"/>
      <c r="C54" s="2" t="n"/>
      <c r="D54" s="2" t="n"/>
      <c r="E54" s="2" t="n"/>
      <c r="F54" s="2" t="n"/>
    </row>
    <row r="55">
      <c r="A55" s="38" t="inlineStr">
        <is>
          <t>Metric</t>
        </is>
      </c>
      <c r="B55" s="38" t="inlineStr">
        <is>
          <t>Value</t>
        </is>
      </c>
      <c r="C55" s="38" t="inlineStr">
        <is>
          <t>Ratio / consequence</t>
        </is>
      </c>
      <c r="D55" s="38" t="inlineStr"/>
      <c r="E55" s="38" t="inlineStr"/>
      <c r="F55" s="38" t="inlineStr">
        <is>
          <t>Status — derived.json key</t>
        </is>
      </c>
    </row>
    <row r="56">
      <c r="A56" s="45" t="inlineStr">
        <is>
          <t>8-GPU speedup, matched load (16 in flight)</t>
        </is>
      </c>
      <c r="B56" s="46" t="inlineStr">
        <is>
          <t>x5.15 fwd+bwd vs x3.70 fwd-only Ulysses best</t>
        </is>
      </c>
      <c r="C56" s="47" t="inlineStr">
        <is>
          <t>x1.39 cluster throughput</t>
        </is>
      </c>
      <c r="F56" s="43" t="inlineStr">
        <is>
          <t>MEASURED — matched_load_curve</t>
        </is>
      </c>
    </row>
    <row r="57">
      <c r="A57" s="45" t="inlineStr">
        <is>
          <t>8-GPU speedup, deep load (256 in flight)</t>
        </is>
      </c>
      <c r="B57" s="46" t="inlineStr">
        <is>
          <t>x6.27 (pipeline keeps filling; TF saturated by 16)</t>
        </is>
      </c>
      <c r="C57" s="47" t="inlineStr">
        <is>
          <t>x1.70</t>
        </is>
      </c>
      <c r="F57" s="43" t="inlineStr">
        <is>
          <t>MEASURED — scaling_1to8_best</t>
        </is>
      </c>
    </row>
    <row r="58">
      <c r="A58" s="45" t="inlineStr">
        <is>
          <t>GPU-hours for the same training work</t>
        </is>
      </c>
      <c r="B58" s="48" t="inlineStr">
        <is>
          <t>-28% (matched) … -41% (deep)</t>
        </is>
      </c>
      <c r="C58" s="45" t="inlineStr"/>
      <c r="F58" s="43" t="inlineStr">
        <is>
          <t>derived</t>
        </is>
      </c>
    </row>
    <row r="59">
      <c r="A59" s="45" t="inlineStr">
        <is>
          <t>64k-token sequence on one 80 GB GPU</t>
        </is>
      </c>
      <c r="B59" s="46" t="inlineStr">
        <is>
          <t>30.9 GB fits vs OOM (78.4 GB attempted)</t>
        </is>
      </c>
      <c r="C59" s="45" t="inlineStr"/>
      <c r="F59" s="43" t="inlineStr">
        <is>
          <t>MEASURED — pipeline_feasibility</t>
        </is>
      </c>
    </row>
    <row r="60">
      <c r="A60" s="45" t="inlineStr">
        <is>
          <t>Pipeline per-GPU peak (flat in load)</t>
        </is>
      </c>
      <c r="B60" s="46" t="inlineStr">
        <is>
          <t>9.05 GB vs 43.3 GB GPipe stage</t>
        </is>
      </c>
      <c r="C60" s="47" t="inlineStr">
        <is>
          <t>x4.8 (component-scope, width-unmatched)</t>
        </is>
      </c>
      <c r="F60" s="43" t="inlineStr">
        <is>
          <t>MEASURED — pipeline_memory_asymmetry</t>
        </is>
      </c>
    </row>
    <row r="61">
      <c r="A61" s="45" t="inlineStr">
        <is>
          <t>Params for equal quality at 70B</t>
        </is>
      </c>
      <c r="B61" s="49" t="inlineStr">
        <is>
          <t>x4.1 [2.2-7.7] transformer</t>
        </is>
      </c>
      <c r="C61" s="45" t="inlineStr"/>
      <c r="F61" s="43" t="inlineStr">
        <is>
          <t>PROJECTION — quality_fit.ref_70B</t>
        </is>
      </c>
    </row>
    <row r="62">
      <c r="A62" s="45" t="inlineStr">
        <is>
          <t>Tokens for equal quality at 70B</t>
        </is>
      </c>
      <c r="B62" s="49" t="inlineStr">
        <is>
          <t>x1.68 [1.33-2.10] (beta=0.28 assumption)</t>
        </is>
      </c>
      <c r="C62" s="45" t="inlineStr"/>
      <c r="F62" s="43" t="inlineStr">
        <is>
          <t>PROJECTION — quality_fit.ref_70B</t>
        </is>
      </c>
    </row>
    <row r="63">
      <c r="A63" s="45" t="inlineStr">
        <is>
          <t>Stepped vs scanned training</t>
        </is>
      </c>
      <c r="B63" s="46" t="inlineStr">
        <is>
          <t>x24 cost to step the recurrence token-by-token</t>
        </is>
      </c>
      <c r="C63" s="45" t="inlineStr"/>
      <c r="F63" s="43" t="inlineStr">
        <is>
          <t>MEASURED — stepped_vs_scanned</t>
        </is>
      </c>
    </row>
    <row r="65">
      <c r="A65" s="1" t="inlineStr">
        <is>
          <t>The compute lever — blended over the workload (sets flop_factor)</t>
        </is>
      </c>
      <c r="B65" s="2" t="n"/>
      <c r="C65" s="2" t="n"/>
      <c r="D65" s="2" t="n"/>
      <c r="E65" s="2" t="n"/>
      <c r="F65" s="2" t="n"/>
    </row>
    <row r="66">
      <c r="A66" s="3" t="inlineStr">
        <is>
          <t>Training, prefill and decode point in OPPOSITE directions at today's kernel maturity, so a single number cannot represent them. Training is a loss at short sequence (transformer 5.3-9.6x faster at T=2048 blocks; FLOPs near-matched at 1.07-1.19x, the gap is achieved FLOP/s 200.9 vs 21.7 TF/s; crossover near T~88,000). Prefill crosses over near 65k context. Decode crosses in our favour near ~30k context. The lever is therefore blended over the workload: per generated token, in:out input tokens through prefill plus one token through decode, using measured per-GPU throughput at each family's own concurrency ceiling, the transformer granted no KV compression. At the default operating point (10:1, 64k context, training share 0): prefill x1.17, decode x2.20, blended x2.19, with decode ~99.7% of transformer serving cost. The decode half is a MEMORY CEILING, not a per-token result - at one stream and 64k the transformer decodes a token more cheaply than we do - and it crosses 1 at ~30k context, below which the transformer wins. Granting it KV/8 divides our decode lever by 8. A training share above ~0.06 also takes the blend below 1. All are reachable in the live model.</t>
        </is>
      </c>
    </row>
    <row r="68">
      <c r="A68" s="3" t="inlineStr">
        <is>
          <t>The prefill component, 16-bit and parameter-matched — the lane the competition serves in. Parameter counts exactly matched, 1 layer, batch 16, 1 x H100 80GB HBM3, 2026-07-21 — x4.02 at d512/1M, x3.83 at d1024/1M, x2.01 at d2048/262k. The fp32 full-model sweep and the own-baseline 16-bit-IO training gate are retired to one assumption row each below. Receipts: experiments/paper_figures/output/matched_d{512,1024,2048}_h100.json</t>
        </is>
      </c>
    </row>
    <row r="70">
      <c r="A70" s="38" t="inlineStr">
        <is>
          <t>Context (tokens)</t>
        </is>
      </c>
      <c r="B70" s="38" t="inlineStr">
        <is>
          <t>Transformer ms</t>
        </is>
      </c>
      <c r="C70" s="38" t="inlineStr">
        <is>
          <t>bAttention ms</t>
        </is>
      </c>
      <c r="D70" s="38" t="inlineStr">
        <is>
          <t>TF / bAttention</t>
        </is>
      </c>
      <c r="E70" s="38" t="inlineStr"/>
      <c r="F70" s="38" t="inlineStr">
        <is>
          <t>Note</t>
        </is>
      </c>
    </row>
    <row r="71">
      <c r="A71" s="39" t="n">
        <v>2048</v>
      </c>
      <c r="B71" s="5" t="n">
        <v>111.229</v>
      </c>
      <c r="C71" s="14" t="n">
        <v>663.1130000000001</v>
      </c>
      <c r="D71" s="50" t="n">
        <v>0.16773762541226</v>
      </c>
      <c r="F71" s="43" t="inlineStr">
        <is>
          <t>transformer ahead</t>
        </is>
      </c>
    </row>
    <row r="72">
      <c r="A72" s="39" t="n">
        <v>4096</v>
      </c>
      <c r="B72" s="5" t="n">
        <v>125.091</v>
      </c>
      <c r="C72" s="14" t="n">
        <v>662.751</v>
      </c>
      <c r="D72" s="50" t="n">
        <v>0.1887450943114382</v>
      </c>
      <c r="F72" s="43" t="inlineStr">
        <is>
          <t>transformer ahead</t>
        </is>
      </c>
    </row>
    <row r="73">
      <c r="A73" s="39" t="n">
        <v>8192</v>
      </c>
      <c r="B73" s="5" t="n">
        <v>153.085</v>
      </c>
      <c r="C73" s="14" t="n">
        <v>663.327</v>
      </c>
      <c r="D73" s="50" t="n">
        <v>0.2307836104967836</v>
      </c>
      <c r="F73" s="43" t="inlineStr">
        <is>
          <t>transformer ahead</t>
        </is>
      </c>
    </row>
    <row r="74">
      <c r="A74" s="39" t="n">
        <v>16384</v>
      </c>
      <c r="B74" s="5" t="n">
        <v>204.919</v>
      </c>
      <c r="C74" s="14" t="n">
        <v>663.202</v>
      </c>
      <c r="D74" s="50" t="n">
        <v>0.3089842913622094</v>
      </c>
      <c r="F74" s="43" t="inlineStr">
        <is>
          <t>transformer ahead</t>
        </is>
      </c>
    </row>
    <row r="75">
      <c r="A75" s="39" t="n">
        <v>32768</v>
      </c>
      <c r="B75" s="5" t="n">
        <v>309.886</v>
      </c>
      <c r="C75" s="14" t="n">
        <v>662.6180000000001</v>
      </c>
      <c r="D75" s="50" t="n">
        <v>0.4676691547769605</v>
      </c>
      <c r="F75" s="43" t="inlineStr">
        <is>
          <t>transformer ahead</t>
        </is>
      </c>
    </row>
    <row r="76">
      <c r="A76" s="39" t="n">
        <v>65536</v>
      </c>
      <c r="B76" s="5" t="n">
        <v>520.986</v>
      </c>
      <c r="C76" s="14" t="n">
        <v>663.199</v>
      </c>
      <c r="D76" s="50" t="n">
        <v>0.7855651169558459</v>
      </c>
      <c r="F76" s="43" t="inlineStr">
        <is>
          <t>transformer ahead</t>
        </is>
      </c>
    </row>
    <row r="77">
      <c r="A77" s="39" t="n">
        <v>131072</v>
      </c>
      <c r="B77" s="5" t="n">
        <v>969.79</v>
      </c>
      <c r="C77" s="14" t="n">
        <v>753.457</v>
      </c>
      <c r="D77" s="50" t="n">
        <v>1.287120565606265</v>
      </c>
      <c r="F77" s="43" t="inlineStr"/>
    </row>
    <row r="78">
      <c r="A78" s="39" t="n">
        <v>262144</v>
      </c>
      <c r="B78" s="5" t="n">
        <v>1889.616</v>
      </c>
      <c r="C78" s="14" t="n">
        <v>938.175</v>
      </c>
      <c r="D78" s="50" t="n">
        <v>2.014140219042289</v>
      </c>
      <c r="F78" s="43" t="inlineStr"/>
    </row>
    <row r="79">
      <c r="A79" s="39" t="n">
        <v>524288</v>
      </c>
      <c r="B79" s="5" t="n">
        <v>3718.717</v>
      </c>
      <c r="C79" s="14" t="n">
        <v>1308.837</v>
      </c>
      <c r="D79" s="50" t="n">
        <v>2.841237678947035</v>
      </c>
      <c r="F79" s="43" t="inlineStr"/>
    </row>
    <row r="81">
      <c r="A81" s="1" t="inlineStr">
        <is>
          <t>Assumptions — one row each (MEASURED / PROJECTION / ASSUMPTION)</t>
        </is>
      </c>
      <c r="B81" s="2" t="n"/>
      <c r="C81" s="2" t="n"/>
      <c r="D81" s="2" t="n"/>
      <c r="E81" s="2" t="n"/>
      <c r="F81" s="2" t="n"/>
    </row>
    <row r="82">
      <c r="A82" s="38" t="inlineStr">
        <is>
          <t>Assumption</t>
        </is>
      </c>
      <c r="B82" s="38" t="inlineStr">
        <is>
          <t>Value</t>
        </is>
      </c>
      <c r="C82" s="38" t="inlineStr"/>
      <c r="D82" s="38" t="inlineStr"/>
      <c r="E82" s="38" t="inlineStr">
        <is>
          <t>Status</t>
        </is>
      </c>
      <c r="F82" s="38" t="inlineStr">
        <is>
          <t>Source</t>
        </is>
      </c>
    </row>
    <row r="83">
      <c r="A83" s="45" t="inlineStr">
        <is>
          <t>Compute lever (economics slide)</t>
        </is>
      </c>
      <c r="B83" s="43" t="inlineStr">
        <is>
          <t>x9.24 = the x2.19 MEASURED serving blend x the x4.22 FIT-DERIVED equal-quality parameter ratio at trillion scale</t>
        </is>
      </c>
      <c r="E83" s="51" t="inlineStr">
        <is>
          <t>MEASURED x PROJECTION</t>
        </is>
      </c>
      <c r="F83" s="43" t="inlineStr">
        <is>
          <t>workload_compute_advantage() x quality_matched_compute_lever(); receipts derived.json + quality_fit_v4.json</t>
        </is>
      </c>
    </row>
    <row r="84">
      <c r="A84" s="45" t="inlineStr">
        <is>
          <t>Equal-quality parameter matching</t>
        </is>
      </c>
      <c r="B84" s="43" t="inlineStr">
        <is>
          <t>sealed 2026-08-14 refit, 4 rungs per family (47M-663M params): the fits cross at 392M and bAttention then matches the transformer fit's quality on 84.2% of the params at 1B, 55.2% at 10B, 36.2% at 100B, 23.7% at 1T, 15.5% at 10T. The receipt's own words: 'a projection of the two fits, not a measurement'</t>
        </is>
      </c>
      <c r="E84" s="51" t="inlineStr">
        <is>
          <t>PROJECTION</t>
        </is>
      </c>
      <c r="F84" s="43" t="inlineStr">
        <is>
          <t>quality_fit_v4.json param_matching; fits over the sealed rope-convention ladder</t>
        </is>
      </c>
    </row>
    <row r="85">
      <c r="A85" s="45" t="inlineStr">
        <is>
          <t>Single-GPU training step (AGAINST us)</t>
        </is>
      </c>
      <c r="B85" s="43" t="inlineStr">
        <is>
          <t>at 2,048-token context on one GPU a bAttention step costs x6.46 MORE (8,979 vs 1,389 ms/step, d1536/27L, fp16, 601-step protocol). At equal quality the same step costs x1.53 more, not x6.46 - the parameter ratio shrinks the gap but does not erase it. Training is excluded from the serving claim for this reason</t>
        </is>
      </c>
      <c r="E85" s="52" t="inlineStr">
        <is>
          <t>MEASURED</t>
        </is>
      </c>
      <c r="F85" s="43" t="inlineStr">
        <is>
          <t>dtype_trio_v4.json rows[fp16]</t>
        </is>
      </c>
    </row>
    <row r="86">
      <c r="A86" s="45" t="inlineStr">
        <is>
          <t>$/GPU-hour</t>
        </is>
      </c>
      <c r="B86" s="43" t="inlineStr">
        <is>
          <t>$2.50 (H100 rent, neocloud/committed mid; ladder 2.00-3.50)</t>
        </is>
      </c>
      <c r="E86" s="51" t="inlineStr">
        <is>
          <t>ASSUMPTION</t>
        </is>
      </c>
      <c r="F86" s="43" t="inlineStr">
        <is>
          <t>this file's CostLadder row — unchanged rate basis</t>
        </is>
      </c>
    </row>
    <row r="87">
      <c r="A87" s="45" t="inlineStr">
        <is>
          <t>Utilization</t>
        </is>
      </c>
      <c r="B87" s="43" t="inlineStr">
        <is>
          <t>85%</t>
        </is>
      </c>
      <c r="E87" s="51" t="inlineStr">
        <is>
          <t>ASSUMPTION</t>
        </is>
      </c>
      <c r="F87" s="43" t="inlineStr">
        <is>
          <t>same value as the ladder's owned-TCO cross-check</t>
        </is>
      </c>
    </row>
    <row r="88">
      <c r="A88" s="45" t="inlineStr">
        <is>
          <t>Context-length mix</t>
        </is>
      </c>
      <c r="B88" s="43" t="inlineStr">
        <is>
          <t>headline quoted at 262k (a measured decode cell); table sweeps 4k-1M. The decode lever crosses 1 at ~29,800 tokens and BELOW that the transformer serves more tokens per GPU-second than we do — stated on every surface</t>
        </is>
      </c>
      <c r="E88" s="51" t="inlineStr">
        <is>
          <t>ASSUMPTION</t>
        </is>
      </c>
      <c r="F88" s="43" t="inlineStr">
        <is>
          <t>serving_cost_curve, decode_throughput_ratio</t>
        </is>
      </c>
    </row>
    <row r="89">
      <c r="A89" s="45" t="inlineStr">
        <is>
          <t>Decode lever is MEMORY-CEILING, not latency (READ FIRST)</t>
        </is>
      </c>
      <c r="B89" s="43" t="inlineStr">
        <is>
          <t>per generated token at ONE stream the transformer is AHEAD of us at 64k context — 4.92 vs 5.74 GPU-busy per token. The lever is that it cannot hold many long-context streams: it re-reads its whole KV cache per emitted token, so its aggregate throughput falls as 1/context while ours is flat. Measured: 1 stream at 262k (2 OOM — an exact ceiling) and 8 streams at 32k (16 OOM, so that ceiling is only bracketed at 8-15 and the 32k cell is a bounded x0.97-1.14, near parity) against 64 of ours in 1.62 GB</t>
        </is>
      </c>
      <c r="E89" s="52" t="inlineStr">
        <is>
          <t>MEASURED</t>
        </is>
      </c>
      <c r="F89" s="43" t="inlineStr">
        <is>
          <t>deck_decode_d2048_bf16_gh200_20260814.json; DECODE_THROUGHPUT_20260814</t>
        </is>
      </c>
    </row>
    <row r="90">
      <c r="A90" s="45" t="inlineStr">
        <is>
          <t>Transformer-stack maturity</t>
        </is>
      </c>
      <c r="B90" s="43" t="inlineStr">
        <is>
          <t>NOT GRANTED by default since the 2026-08-14 re-base: the headline runs on the measured cells, in which neither family's decode is optimised (ours ran the unoptimised Triton per-step path at 9.5% GPU-busy while the transformer sat at 95.6%). Setting tf_kv_compression=8.0 grants it paged attention + KV quantization, divides our decode lever by 8 and puts the TRANSFORMER ahead at 64k — reported, not hidden</t>
        </is>
      </c>
      <c r="E90" s="51" t="inlineStr">
        <is>
          <t>ASSUMPTION</t>
        </is>
      </c>
      <c r="F90" s="43" t="inlineStr">
        <is>
          <t>SERVING['tf_kv_compression']</t>
        </is>
      </c>
    </row>
    <row r="91">
      <c r="A91" s="45" t="inlineStr">
        <is>
          <t>bAttention serving throughput</t>
        </is>
      </c>
      <c r="B91" s="43" t="inlineStr">
        <is>
          <t>562 tok/s/GPU (4,497/box): 64 concurrent 262,144-token streams on one GPU, context-flat 32k-262k (-4.0%). The 64-stream cell is a grid cap, not a ceiling — 1.62 GB of state on a 96 GB card at 9.5% GPU-busy — so it is a LOWER bound. Supersedes a 349,880 tok/s/box figure measured on the h-carry-only proxy</t>
        </is>
      </c>
      <c r="E91" s="52" t="inlineStr">
        <is>
          <t>MEASURED</t>
        </is>
      </c>
      <c r="F91" s="43" t="inlineStr">
        <is>
          <t>deck_decode_d2048_bf16_gh200_20260814.json rows[bdm, 64 streams]</t>
        </is>
      </c>
    </row>
    <row r="92">
      <c r="A92" s="45" t="inlineStr">
        <is>
          <t>bAttention per-stream state</t>
        </is>
      </c>
      <c r="B92" s="43" t="inlineStr">
        <is>
          <t>25.4 MB/stream, the FULL recurrent cell (h + M memory), 24.2 MiB measured, context-flat. The 0.15 MB figure previously quoted was an h-carry-only proxy with no M memory and is retired as a headline</t>
        </is>
      </c>
      <c r="E92" s="52" t="inlineStr">
        <is>
          <t>MEASURED</t>
        </is>
      </c>
      <c r="F92" s="43" t="inlineStr">
        <is>
          <t>deck_decode_d2048_bf16_gh200_20260814.json state_bytes_per_stream</t>
        </is>
      </c>
    </row>
    <row r="93">
      <c r="A93" s="45" t="inlineStr">
        <is>
          <t>Transformer KV wall</t>
        </is>
      </c>
      <c r="B93" s="43" t="inlineStr">
        <is>
          <t>197 KB per token of context per stream — 51.5 GB for one 262,144-token stream, a 2nd stream OOMs a 96 GB card, and 16 streams OOM it at 32,768 tokens. Its retired 88.5 per-token decode cost was inflated by a growing-KV re-planning harness artifact; the traced figure is 14.92 GPU-busy at 262k</t>
        </is>
      </c>
      <c r="E93" s="52" t="inlineStr">
        <is>
          <t>MEASURED</t>
        </is>
      </c>
      <c r="F93" s="43" t="inlineStr">
        <is>
          <t>deck_decode_d2048_bf16_gh200_20260814.json rows[transformer]</t>
        </is>
      </c>
    </row>
    <row r="94">
      <c r="A94" s="45" t="inlineStr">
        <is>
          <t>Training throughput at 8 GPUs</t>
        </is>
      </c>
      <c r="B94" s="43" t="inlineStr">
        <is>
          <t>x5.15 (bAttention, fwd+bwd) vs x3.70 (transformer Ulysses best, forward-only) at matched 16-in-flight load -&gt; x1.39; x6.27 at 256 in flight -&gt; x1.70</t>
        </is>
      </c>
      <c r="E94" s="52" t="inlineStr">
        <is>
          <t>MEASURED</t>
        </is>
      </c>
      <c r="F94" s="43" t="inlineStr">
        <is>
          <t>derived.json matched_load_curve, scaling_1to8_best</t>
        </is>
      </c>
    </row>
    <row r="95">
      <c r="A95" s="45" t="inlineStr">
        <is>
          <t>Memory walls (component scope)</t>
        </is>
      </c>
      <c r="B95" s="43" t="inlineStr">
        <is>
          <t>64k-token sequence: 30.9 GB (fits 1 GPU) vs OOM at 78.4 GB attempted; pipeline stage 9.05 GB flat vs GPipe 43.3 GB</t>
        </is>
      </c>
      <c r="E95" s="52" t="inlineStr">
        <is>
          <t>MEASURED</t>
        </is>
      </c>
      <c r="F95" s="43" t="inlineStr">
        <is>
          <t>derived.json pipeline_feasibility, pipeline_memory_asymmetry</t>
        </is>
      </c>
    </row>
    <row r="96">
      <c r="A96" s="45" t="inlineStr">
        <is>
          <t>Compute lever (flop_factor)</t>
        </is>
      </c>
      <c r="B96" s="43" t="inlineStr">
        <is>
          <t>cross-family prefill, bf16, 1xH100, parameter counts exactly matched, block scope (1 layer, batch 16): TF/bAttention 4.02 at d512/1M, 3.83 at d1024/1M, 2.01 at d2048/262k. Short context favours the transformer and is stated so</t>
        </is>
      </c>
      <c r="E96" s="52" t="inlineStr">
        <is>
          <t>MEASURED</t>
        </is>
      </c>
      <c r="F96" s="43" t="inlineStr">
        <is>
          <t>matched_d{512,1024,2048}_h100.json (2026-07-21)</t>
        </is>
      </c>
    </row>
    <row r="97">
      <c r="A97" s="45" t="inlineStr">
        <is>
          <t>Compute, fp32 lane (scope reference)</t>
        </is>
      </c>
      <c r="B97" s="43" t="inlineStr">
        <is>
          <t>the d2048/24-layer fp32 sweep gives 7.91 at 262k at full-model scope. No fp32 FlashAttention kernel exists, so that lane runs mem-efficient attention on the transformer and the owned arm is fp16 internally; params 16.7% apart. Full model in bf16 has not been run</t>
        </is>
      </c>
      <c r="E97" s="51" t="inlineStr">
        <is>
          <t>LABEL</t>
        </is>
      </c>
      <c r="F97" s="43" t="inlineStr">
        <is>
          <t>deck_speed_scaling_d2048_h100_20260803.json sdpa_fp32_backend_probe + last_route_attestation</t>
        </is>
      </c>
    </row>
    <row r="98">
      <c r="A98" s="45" t="inlineStr">
        <is>
          <t>16-bit IO (training)</t>
        </is>
      </c>
      <c r="B98" s="43" t="inlineStr">
        <is>
          <t>same-arch GH200 gate at d1536: fp16 x1.185 step time and -17.5% peak memory, bf16 x1.171 and -20.6%; quality deltas +0.001 to +0.004 from the gate's smaller vehicle. Reported on its own; not an input to the compute lever</t>
        </is>
      </c>
      <c r="E98" s="52" t="inlineStr">
        <is>
          <t>MEASURED</t>
        </is>
      </c>
      <c r="F98" s="43" t="inlineStr">
        <is>
          <t>receipts/io16_gate_20260809.md (2026-08-09)</t>
        </is>
      </c>
    </row>
    <row r="99">
      <c r="A99" s="45" t="inlineStr">
        <is>
          <t>Quality parity at 70B</t>
        </is>
      </c>
      <c r="B99" s="43" t="inlineStr">
        <is>
          <t>transformer needs x4.1 params [2.2-7.7] or x1.7 tokens [1.33-2.10, beta=0.28 assumption]; crossover N* ~321M = the top measured rung</t>
        </is>
      </c>
      <c r="E99" s="51" t="inlineStr">
        <is>
          <t>PROJECTION</t>
        </is>
      </c>
      <c r="F99" s="43" t="inlineStr">
        <is>
          <t>derived.json quality_fit.ref_70B, parity_cost</t>
        </is>
      </c>
    </row>
    <row r="100">
      <c r="A100" s="45" t="inlineStr">
        <is>
          <t>Scope</t>
        </is>
      </c>
      <c r="B100" s="43" t="inlineStr">
        <is>
          <t>systems numbers are component-scope (bAttention d1536 fwd+bwd h-recurrence sub-block vs transformer d2048 forward-only layer); every speedup is vs the family's OWN 1-GPU baseline</t>
        </is>
      </c>
      <c r="E100" s="51" t="inlineStr">
        <is>
          <t>LABEL</t>
        </is>
      </c>
      <c r="F100" s="43" t="inlineStr">
        <is>
          <t>derived.json scope_reconciliation; deck README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52" customWidth="1" min="4" max="4"/>
  </cols>
  <sheetData>
    <row r="1">
      <c r="A1" s="1" t="inlineStr">
        <is>
          <t>EVIDENCE — cost split, accelerator share, own-silicon TCO, filing data</t>
        </is>
      </c>
      <c r="B1" s="2" t="n"/>
      <c r="C1" s="2" t="n"/>
      <c r="D1" s="2" t="n"/>
    </row>
    <row r="3">
      <c r="A3" s="8" t="inlineStr">
        <is>
          <t>GPU cost split (BOM)</t>
        </is>
      </c>
      <c r="B3" t="inlineStr">
        <is>
          <t>$ cost</t>
        </is>
      </c>
      <c r="C3" t="inlineStr">
        <is>
          <t>% COGS</t>
        </is>
      </c>
      <c r="D3" s="3" t="inlineStr">
        <is>
          <t>Method 1: teardown = true resource cost</t>
        </is>
      </c>
    </row>
    <row r="4">
      <c r="A4" t="inlineStr">
        <is>
          <t>H100: HBM3 memory (80GB)</t>
        </is>
      </c>
      <c r="B4" t="n">
        <v>1350</v>
      </c>
      <c r="C4" t="inlineStr">
        <is>
          <t>41%</t>
        </is>
      </c>
      <c r="D4" s="3" t="inlineStr">
        <is>
          <t>MEMORY</t>
        </is>
      </c>
    </row>
    <row r="5">
      <c r="A5" t="inlineStr">
        <is>
          <t>H100: CoWoS packaging</t>
        </is>
      </c>
      <c r="B5" t="n">
        <v>750</v>
      </c>
      <c r="C5" t="inlineStr">
        <is>
          <t>23%</t>
        </is>
      </c>
      <c r="D5" s="3" t="inlineStr">
        <is>
          <t>mostly memory (interposer hosts HBM)</t>
        </is>
      </c>
    </row>
    <row r="6">
      <c r="A6" t="inlineStr">
        <is>
          <t>H100: test &amp; assembly</t>
        </is>
      </c>
      <c r="B6" t="n">
        <v>920</v>
      </c>
      <c r="C6" t="inlineStr">
        <is>
          <t>28%</t>
        </is>
      </c>
      <c r="D6" s="3" t="inlineStr">
        <is>
          <t>shared</t>
        </is>
      </c>
    </row>
    <row r="7">
      <c r="A7" t="inlineStr">
        <is>
          <t>H100: logic die (compute)</t>
        </is>
      </c>
      <c r="B7" t="n">
        <v>300</v>
      </c>
      <c r="C7" t="inlineStr">
        <is>
          <t>9%</t>
        </is>
      </c>
      <c r="D7" s="3" t="inlineStr">
        <is>
          <t>COMPUTE -- cheapest part</t>
        </is>
      </c>
    </row>
    <row r="8">
      <c r="A8" t="inlineStr">
        <is>
          <t>H100 total COGS</t>
        </is>
      </c>
      <c r="B8" t="n">
        <v>3320</v>
      </c>
      <c r="C8" t="inlineStr">
        <is>
          <t>100%</t>
        </is>
      </c>
      <c r="D8" s="3" t="inlineStr">
        <is>
          <t>sells ~$28k -&gt; ~88% margin</t>
        </is>
      </c>
    </row>
    <row r="9">
      <c r="A9" t="inlineStr">
        <is>
          <t>B200 total COGS</t>
        </is>
      </c>
      <c r="B9" t="n">
        <v>6400</v>
      </c>
      <c r="C9" t="inlineStr">
        <is>
          <t>HBM 45%</t>
        </is>
      </c>
      <c r="D9" s="3" t="inlineStr">
        <is>
          <t>memory &gt; logic die; sells ~$40k -&gt; ~84% margin</t>
        </is>
      </c>
    </row>
    <row r="11">
      <c r="A11" s="8" t="inlineStr">
        <is>
          <t>Accelerator share of server BOM</t>
        </is>
      </c>
      <c r="B11" t="inlineStr"/>
      <c r="C11" t="inlineStr"/>
      <c r="D11" s="3" t="inlineStr">
        <is>
          <t>for accel-within-server share</t>
        </is>
      </c>
    </row>
    <row r="12">
      <c r="A12" t="inlineStr">
        <is>
          <t>8x H100 server (J.P. Morgan)</t>
        </is>
      </c>
      <c r="B12" t="inlineStr">
        <is>
          <t>83%</t>
        </is>
      </c>
      <c r="C12" t="inlineStr"/>
      <c r="D12" s="3" t="inlineStr">
        <is>
          <t>accelerator = $200k of $240k</t>
        </is>
      </c>
    </row>
    <row r="13">
      <c r="A13" t="inlineStr">
        <is>
          <t>8x A100 server (J.P. Morgan)</t>
        </is>
      </c>
      <c r="B13" t="inlineStr">
        <is>
          <t>71%</t>
        </is>
      </c>
      <c r="C13" t="inlineStr"/>
      <c r="D13" s="3" t="inlineStr">
        <is>
          <t>GB200 rack ~76-80% (SemiAnalysis)</t>
        </is>
      </c>
    </row>
    <row r="15">
      <c r="A15" s="8" t="inlineStr">
        <is>
          <t>Own-silicon vs NVIDIA (TCO)</t>
        </is>
      </c>
      <c r="B15" t="inlineStr"/>
      <c r="C15" t="inlineStr"/>
      <c r="D15" s="3" t="inlineStr">
        <is>
          <t>cheaper, but valued at cost in model</t>
        </is>
      </c>
    </row>
    <row r="16">
      <c r="A16" t="inlineStr">
        <is>
          <t>Google TPU v7 vs GB200/GB300</t>
        </is>
      </c>
      <c r="B16" t="inlineStr">
        <is>
          <t>20-50% lower</t>
        </is>
      </c>
      <c r="C16" t="inlineStr"/>
      <c r="D16" s="3" t="inlineStr">
        <is>
          <t>per useful FLOP (SemiAnalysis)</t>
        </is>
      </c>
    </row>
    <row r="17">
      <c r="A17" t="inlineStr">
        <is>
          <t>Amazon Trainium3 vs GB300</t>
        </is>
      </c>
      <c r="B17" t="inlineStr">
        <is>
          <t>~30% better</t>
        </is>
      </c>
      <c r="C17" t="inlineStr"/>
      <c r="D17" s="3" t="inlineStr">
        <is>
          <t>chips ~1/3 cheaper to build</t>
        </is>
      </c>
    </row>
    <row r="19">
      <c r="A19" s="8" t="inlineStr">
        <is>
          <t>Filing data (FY2025 actuals)</t>
        </is>
      </c>
      <c r="B19" t="inlineStr">
        <is>
          <t>total capex</t>
        </is>
      </c>
      <c r="C19" t="inlineStr">
        <is>
          <t>server life</t>
        </is>
      </c>
      <c r="D19" s="3" t="inlineStr">
        <is>
          <t>DISCLOSED top-lines</t>
        </is>
      </c>
    </row>
    <row r="20">
      <c r="A20" t="inlineStr">
        <is>
          <t>Microsoft (Jun'25, incl leases)</t>
        </is>
      </c>
      <c r="B20" t="inlineStr">
        <is>
          <t>~$88B</t>
        </is>
      </c>
      <c r="C20" t="inlineStr">
        <is>
          <t>2-6 yr</t>
        </is>
      </c>
      <c r="D20" s="3" t="inlineStr">
        <is>
          <t>'roughly half' short-lived (CFO)</t>
        </is>
      </c>
    </row>
    <row r="21">
      <c r="A21" t="inlineStr">
        <is>
          <t>Alphabet</t>
        </is>
      </c>
      <c r="B21" t="inlineStr">
        <is>
          <t>$91.4B</t>
        </is>
      </c>
      <c r="C21" t="inlineStr">
        <is>
          <t>6 yr</t>
        </is>
      </c>
      <c r="D21" s="3" t="inlineStr">
        <is>
          <t>60% servers / 40% DC (CFO)</t>
        </is>
      </c>
    </row>
    <row r="22">
      <c r="A22" t="inlineStr">
        <is>
          <t>Amazon (cash capex)</t>
        </is>
      </c>
      <c r="B22" t="inlineStr">
        <is>
          <t>$128.3B</t>
        </is>
      </c>
      <c r="C22" t="inlineStr">
        <is>
          <t>5 yr (cut)</t>
        </is>
      </c>
      <c r="D22" s="3" t="inlineStr">
        <is>
          <t>AWS 67.8% of net P&amp;E additions</t>
        </is>
      </c>
    </row>
    <row r="23">
      <c r="A23" t="inlineStr">
        <is>
          <t>Meta (incl finance leases)</t>
        </is>
      </c>
      <c r="B23" t="inlineStr">
        <is>
          <t>$72.2B</t>
        </is>
      </c>
      <c r="C23" t="inlineStr">
        <is>
          <t>5.5 yr</t>
        </is>
      </c>
      <c r="D23" s="3" t="inlineStr">
        <is>
          <t>servers 'largest portion' (CFO)</t>
        </is>
      </c>
    </row>
    <row r="24">
      <c r="A24" t="inlineStr">
        <is>
          <t>FY26 capex guidance</t>
        </is>
      </c>
      <c r="B24" t="inlineStr"/>
      <c r="C24" t="inlineStr"/>
      <c r="D24" s="3" t="inlineStr">
        <is>
          <t>MSFT ~$190B, Alphabet $180-190B, Amazon ~$200B, Meta $125-145B, Oracle ~$50B; SpaceX ~$18B (est)</t>
        </is>
      </c>
    </row>
    <row r="26">
      <c r="A26" s="8" t="inlineStr">
        <is>
          <t>Cost-weighted reduction vs memory share</t>
        </is>
      </c>
      <c r="B26" t="inlineStr">
        <is>
          <t>reduction (x)</t>
        </is>
      </c>
      <c r="C26" t="inlineStr"/>
      <c r="D26" s="3" t="inlineStr">
        <is>
          <t>live: =1/(w/memfac+(1-w)/flopfac)</t>
        </is>
      </c>
    </row>
    <row r="27">
      <c r="A27" t="inlineStr">
        <is>
          <t>memory share = 45%</t>
        </is>
      </c>
      <c r="B27" s="16" t="n">
        <v>0.45</v>
      </c>
      <c r="C27" s="37">
        <f>1/(B27/Inputs!$B$2+(1-B27)/Inputs!$B$3)</f>
        <v/>
      </c>
      <c r="D27" t="inlineStr">
        <is>
          <t>compute term dominates -&gt; stays far below 100x</t>
        </is>
      </c>
    </row>
    <row r="28">
      <c r="A28" t="inlineStr">
        <is>
          <t>memory share = 50%</t>
        </is>
      </c>
      <c r="B28" s="16" t="n">
        <v>0.5</v>
      </c>
      <c r="C28" s="37">
        <f>1/(B28/Inputs!$B$2+(1-B28)/Inputs!$B$3)</f>
        <v/>
      </c>
      <c r="D28" t="inlineStr">
        <is>
          <t>compute term dominates -&gt; stays far below 100x</t>
        </is>
      </c>
    </row>
    <row r="29">
      <c r="A29" t="inlineStr">
        <is>
          <t>memory share = 60%</t>
        </is>
      </c>
      <c r="B29" s="16" t="n">
        <v>0.6</v>
      </c>
      <c r="C29" s="37">
        <f>1/(B29/Inputs!$B$2+(1-B29)/Inputs!$B$3)</f>
        <v/>
      </c>
      <c r="D29" t="inlineStr">
        <is>
          <t>compute term dominates -&gt; stays far below 100x</t>
        </is>
      </c>
    </row>
    <row r="30">
      <c r="A30" t="inlineStr">
        <is>
          <t>memory share = 70%</t>
        </is>
      </c>
      <c r="B30" s="16" t="n">
        <v>0.7</v>
      </c>
      <c r="C30" s="37">
        <f>1/(B30/Inputs!$B$2+(1-B30)/Inputs!$B$3)</f>
        <v/>
      </c>
      <c r="D30" t="inlineStr">
        <is>
          <t>compute term dominates -&gt; stays far below 100x</t>
        </is>
      </c>
    </row>
    <row r="31">
      <c r="A31" t="inlineStr">
        <is>
          <t>memory share = 82%</t>
        </is>
      </c>
      <c r="B31" s="16" t="n">
        <v>0.82</v>
      </c>
      <c r="C31" s="37">
        <f>1/(B31/Inputs!$B$2+(1-B31)/Inputs!$B$3)</f>
        <v/>
      </c>
      <c r="D31" t="inlineStr">
        <is>
          <t>compute term dominates -&gt; stays far below 100x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4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METHODOLOGY &amp; SOURCES</t>
        </is>
      </c>
    </row>
    <row r="2">
      <c r="A2" s="3" t="inlineStr"/>
    </row>
    <row r="3">
      <c r="A3" s="3" t="inlineStr">
        <is>
          <t>Engine: GPU cost ~60% memory / ~40% compute. TODAY (default): memory x100 + FLOPs x9.24 (blend x2.19 x equal-quality parameter ratio x4.22 at 1T) -&gt; ~20x cost-weighted (Inputs B20). CEILING: FLOPs x22.1 -&gt; ~41x.</t>
        </is>
      </c>
    </row>
    <row r="4">
      <c r="A4" s="3" t="inlineStr">
        <is>
          <t xml:space="preserve">  Floored by the least-reduced part (compute). Neither alone helps (mem-only ~2.5x, FLOP-only ~1.5x).</t>
        </is>
      </c>
    </row>
    <row r="5">
      <c r="A5" s="3" t="inlineStr"/>
    </row>
    <row r="6">
      <c r="A6" s="3" t="inlineStr">
        <is>
          <t>Per company (own tab): total capex (DISCLOSED) x infra share x server share x accelerator share = accelerator capex; then fleet -&gt; opex -&gt; efficient -&gt; value. FY25 + FY26.</t>
        </is>
      </c>
    </row>
    <row r="7">
      <c r="A7" s="3" t="inlineStr">
        <is>
          <t xml:space="preserve">  infra share strips non-AI (Amazon AWS 68%); server share CFO-disclosed (MSFT ~50%, Google 60%); accel-within-server ~67-80% from BOM.</t>
        </is>
      </c>
    </row>
    <row r="8">
      <c r="A8" s="3" t="inlineStr">
        <is>
          <t xml:space="preserve">  Accel % of total varies: Amazon ~30% (legacy fleet + non-AI), MSFT ~37%, Google ~40%, Meta ~48%, SpaceX ~79% (greenfield).</t>
        </is>
      </c>
    </row>
    <row r="9">
      <c r="A9" s="3" t="inlineStr">
        <is>
          <t>Totals (front page): rolls up the company tabs live; no double-count (they don't pay each other for the bulk). GLOBAL row grosses the named total up to a worldwide estimate (Inputs 'Named share of global AI capex').</t>
        </is>
      </c>
    </row>
    <row r="10">
      <c r="A10" s="3" t="inlineStr">
        <is>
          <t>Value: spend cut/yr = accel x (1 - 1/reduction) ~95% + opex savings; capitalized = annual / discount rate. Compute valued at ACTUAL cost.</t>
        </is>
      </c>
    </row>
    <row r="11">
      <c r="A11" s="3" t="inlineStr">
        <is>
          <t>Energy/opex reduction: DERIVED = cost-weighted reduction (energy splits memory/compute like cost). Inputs B5 defaults to =B20; overtype that cell to override.</t>
        </is>
      </c>
    </row>
    <row r="12">
      <c r="A12" s="3" t="inlineStr">
        <is>
          <t>HOW EACH INPUT IS DERIVED: Inputs sheet column D notes every global assumption; Evidence sheet has the BOM cost split (mem share), accelerator-share teardowns, own-silicon TCO and filing top-lines; per-company capex/shares/revenue carry a basis + clickable Sources on each company tab.</t>
        </is>
      </c>
    </row>
    <row r="13">
      <c r="A13" s="3" t="inlineStr">
        <is>
          <t>Net AI economics (Totals + company tabs): Net AI = AI revenue - AI capex (full AI-infra) - AI opex (cash basis). With our arch: Net AI + spend cut.</t>
        </is>
      </c>
    </row>
    <row r="14">
      <c r="A14" s="3" t="inlineStr">
        <is>
          <t xml:space="preserve">  Shows they all LOSE money on AI today. TOGGLE 'Datacenter scaling factor' (Inputs B13): 0 = accelerator-only (conservative); 1 = whole datacenter scales -&gt; net AI flips positive (~0.7 = breakeven).</t>
        </is>
      </c>
    </row>
    <row r="15">
      <c r="A15" s="3" t="inlineStr"/>
    </row>
    <row r="16">
      <c r="A16" s="4" t="inlineStr">
        <is>
          <t>KEY RESULTS (defaults)</t>
        </is>
      </c>
    </row>
    <row r="17">
      <c r="A17" s="3" t="inlineStr">
        <is>
          <t>- Cost-weighted reduction ~20x TODAY, ~41x at the CEILING (NOT 100x; ~16-36x over memory share 45-82% at the Today lever).</t>
        </is>
      </c>
    </row>
    <row r="18">
      <c r="A18" s="3" t="inlineStr">
        <is>
          <t>- Net AI FY25: 6 named firms spend ~$375B (capex+opex) vs ~$79B AI revenue = ~ -$295B/yr cash burn.</t>
        </is>
      </c>
    </row>
    <row r="19">
      <c r="A19" s="3" t="inlineStr">
        <is>
          <t>- With our architecture: spend cut ~$159B -&gt; burn shrinks to ~ -$136B/yr (~42% of AI spend cut).</t>
        </is>
      </c>
    </row>
    <row r="20">
      <c r="A20" s="3" t="inlineStr">
        <is>
          <t>- Spend-cut value (named floor, 6% discount rate): FY25 ~$159B/yr (~$2.6T capitalized); FY26 r/r ~$366B/yr (~$6.1T). Ceiling: ~$163B FY25.</t>
        </is>
      </c>
    </row>
    <row r="21">
      <c r="A21" s="3" t="inlineStr">
        <is>
          <t>- GLOBAL estimate (named ~80% of world AI capex): FY25 ~$3.3T, FY26 ~$7.6T capitalized. Clearly an estimate.</t>
        </is>
      </c>
    </row>
    <row r="22">
      <c r="A22" s="3" t="inlineStr"/>
    </row>
    <row r="23">
      <c r="A23" s="4" t="inlineStr">
        <is>
          <t>CAVEATS</t>
        </is>
      </c>
    </row>
    <row r="24">
      <c r="A24" s="3" t="inlineStr">
        <is>
          <t>- AI REVENUE is the softest input: MSFT $37B &amp; Amazon $15B run-rates are DISCLOSED; Google/Meta/Oracle/SpaceX are ESTIMATES. Meta's real AI payoff is indirect ad-uplift (~$20B), not direct revenue -- so its 'loss' here overstates.</t>
        </is>
      </c>
    </row>
    <row r="25">
      <c r="A25" s="3" t="inlineStr">
        <is>
          <t>- Net AI is CASH basis (capex not depreciated). On an accounting (depreciation) basis the loss is smaller; on a depreciation basis it is closer to a true P&amp;L.</t>
        </is>
      </c>
    </row>
    <row r="26">
      <c r="A26" s="3" t="inlineStr">
        <is>
          <t>- No company reports 'accelerator capex'. Totals DISCLOSED; server/accel split ESTIMATED (server CFO-disclosed; accel-within from BOM). +/-15-20%.</t>
        </is>
      </c>
    </row>
    <row r="27">
      <c r="A27" s="3" t="inlineStr">
        <is>
          <t>- FY26 is a full live chain (FY26 total-capex guidance x FY26 shares). SpaceX FY26 ~$18B is an estimate.</t>
        </is>
      </c>
    </row>
    <row r="28">
      <c r="A28" s="3" t="inlineStr">
        <is>
          <t>- Hyperscaler market caps (company tab row 7) are approximate placeholders -- edit to current.</t>
        </is>
      </c>
    </row>
    <row r="29">
      <c r="A29" s="3" t="inlineStr">
        <is>
          <t>- Own-silicon (TPU/Trainium/MTIA) is cheaper per FLOP, but compute is valued at ACTUAL cost; CostLadder shows the buy/rent premium.</t>
        </is>
      </c>
    </row>
    <row r="30">
      <c r="A30" s="3" t="inlineStr">
        <is>
          <t>- Multiplying the levers (100x * 9.2x ~ 900x) is NOT physical: cost is additive (Amdahl), not multiplicative.</t>
        </is>
      </c>
    </row>
    <row r="31">
      <c r="A31" s="3" t="inlineStr">
        <is>
          <t>- JEVONS: savings reinvested into more AI, not budget cuts. Capitalization is a simple perpetuity.</t>
        </is>
      </c>
    </row>
    <row r="32">
      <c r="A32" s="3" t="inlineStr"/>
    </row>
    <row r="33">
      <c r="A33" s="4" t="inlineStr">
        <is>
          <t>SOURCES</t>
        </is>
      </c>
    </row>
    <row r="34">
      <c r="A34" s="3" t="inlineStr">
        <is>
          <t>SpaceX S-1 / IPO: https://www.hl.co.uk/news/inside-spacexs-ipo-filing-revenue-starlink-ai-and-key-financials</t>
        </is>
      </c>
    </row>
    <row r="35">
      <c r="A35" s="3" t="inlineStr">
        <is>
          <t>Microsoft FY25 capex (Q3 FY26 call): https://www.fool.com/earnings/call-transcripts/2026/04/29/microsoft-msft-q3-2026-earnings-transcript/</t>
        </is>
      </c>
    </row>
    <row r="36">
      <c r="A36" s="3" t="inlineStr">
        <is>
          <t>Alphabet FY25 $91.4B, 60/40 split (Q4'25 call): https://www.fool.com/earnings/call-transcripts/2026/02/04/alphabet-googl-q4-2025-earnings-call-transcript/</t>
        </is>
      </c>
    </row>
    <row r="37">
      <c r="A37" s="3" t="inlineStr">
        <is>
          <t>Amazon FY25 $128.3B + server life 6-&gt;5yr (10-K): https://www.sec.gov/Archives/edgar/data/1018724/000101872426000004/amzn-20251231.htm</t>
        </is>
      </c>
    </row>
    <row r="38">
      <c r="A38" s="3" t="inlineStr">
        <is>
          <t>Meta FY25 $72.2B (Q4/FY25 release): https://investor.atmeta.com/investor-news/press-release-details/2026/Meta-Reports-Fourth-Quarter-and-Full-Year-2025-Results/default.aspx</t>
        </is>
      </c>
    </row>
    <row r="39">
      <c r="A39" s="3" t="inlineStr">
        <is>
          <t>H100/B200 BOM + margin (Silicon Analysts): https://siliconanalysts.com/analysis/nvidia-b200-blackwell-cost-breakdown</t>
        </is>
      </c>
    </row>
    <row r="40">
      <c r="A40" s="3" t="inlineStr">
        <is>
          <t>TPU/Trainium TCO (SemiAnalysis): https://newsletter.semianalysis.com/p/tpuv7-google-takes-a-swing-at-the</t>
        </is>
      </c>
    </row>
    <row r="41">
      <c r="A41" s="3" t="inlineStr">
        <is>
          <t>GPU rental prices 2026 (Spheron): https://www.spheron.network/blog/gpu-cloud-pricing-comparison-2026/</t>
        </is>
      </c>
    </row>
    <row r="42">
      <c r="A42" s="3" t="inlineStr">
        <is>
          <t>Microsoft $37B AI run-rate (Q3 FY26): https://news.alphastreet.com/microsoft-msft-q3-fy2026-azure-hits-40-growth-as-ai-business-reaches-37-billion-run-rate/</t>
        </is>
      </c>
    </row>
    <row r="43">
      <c r="A43" s="3" t="inlineStr">
        <is>
          <t>Amazon &gt;$15B AWS AI run-rate (Q1 FY26): https://www.bnnbloomberg.ca/business/artificial-intelligence/2026/04/09/amazon-cloud-units-ai-revenue-run-rate-exceeds-us15-billion-in-first-quarter-ceo-says/</t>
        </is>
      </c>
    </row>
    <row r="44">
      <c r="A44" s="3" t="inlineStr">
        <is>
          <t>Hyperscalers losing money on AI (capex vs revenue): https://fortune.com/2026/04/15/data-centers-hyperscalers-spending-billions-on-hardware-thats-worthless-in-3-years/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2026-08-17T16:36:57Z</dcterms:created>
  <dcterms:modified xmlns:dcterms="http://purl.org/dc/terms/" xmlns:xsi="http://www.w3.org/2001/XMLSchema-instance" xsi:type="dcterms:W3CDTF">2026-08-17T16:36:57Z</dcterms:modified>
</cp:coreProperties>
</file>