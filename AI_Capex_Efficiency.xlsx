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s" sheetId="1" state="visible" r:id="rId1"/>
    <sheet name="Microsoft" sheetId="2" state="visible" r:id="rId2"/>
    <sheet name="Alphabet" sheetId="3" state="visible" r:id="rId3"/>
    <sheet name="Amazon" sheetId="4" state="visible" r:id="rId4"/>
    <sheet name="Meta" sheetId="5" state="visible" r:id="rId5"/>
    <sheet name="Oracle" sheetId="6" state="visible" r:id="rId6"/>
    <sheet name="SpaceX" sheetId="7" state="visible" r:id="rId7"/>
    <sheet name="Inputs" sheetId="8" state="visible" r:id="rId8"/>
    <sheet name="Sensitivity" sheetId="9" state="visible" r:id="rId9"/>
    <sheet name="CostLadder" sheetId="10" state="visible" r:id="rId10"/>
    <sheet name="Evidence" sheetId="11" state="visible" r:id="rId11"/>
    <sheet name="Methodolog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5" borderId="1" pivotButton="0" quotePrefix="0" xfId="0"/>
    <xf numFmtId="166" fontId="2" fillId="5" borderId="1" pivotButton="0" quotePrefix="0" xfId="0"/>
    <xf numFmtId="9" fontId="0" fillId="5" borderId="1" pivotButton="0" quotePrefix="0" xfId="0"/>
    <xf numFmtId="0" fontId="2" fillId="0" borderId="0" pivotButton="0" quotePrefix="0" xfId="0"/>
    <xf numFmtId="3" fontId="2" fillId="6" borderId="1" pivotButton="0" quotePrefix="0" xfId="0"/>
    <xf numFmtId="9" fontId="2" fillId="6" borderId="1" pivotButton="0" quotePrefix="0" xfId="0"/>
    <xf numFmtId="3" fontId="0" fillId="6" borderId="1" pivotButton="0" quotePrefix="0" xfId="0"/>
    <xf numFmtId="164" fontId="2" fillId="5" borderId="1" pivotButton="0" quotePrefix="0" xfId="0"/>
    <xf numFmtId="3" fontId="2" fillId="5" borderId="1" pivotButton="0" quotePrefix="0" xfId="0"/>
    <xf numFmtId="166" fontId="0" fillId="4" borderId="1" pivotButton="0" quotePrefix="0" xfId="0"/>
    <xf numFmtId="166" fontId="0" fillId="3" borderId="1" pivotButton="0" quotePrefix="0" xfId="0"/>
    <xf numFmtId="9" fontId="0" fillId="3" borderId="1" pivotButton="0" quotePrefix="0" xfId="0"/>
    <xf numFmtId="3" fontId="0" fillId="4" borderId="1" pivotButton="0" quotePrefix="0" xfId="0"/>
    <xf numFmtId="3" fontId="0" fillId="5" borderId="1" pivotButton="0" quotePrefix="0" xfId="0"/>
    <xf numFmtId="2" fontId="0" fillId="5" borderId="1" pivotButton="0" quotePrefix="0" xfId="0"/>
    <xf numFmtId="4" fontId="0" fillId="5" borderId="1" pivotButton="0" quotePrefix="0" xfId="0"/>
    <xf numFmtId="165" fontId="0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4" fontId="0" fillId="4" borderId="1" pivotButton="0" quotePrefix="0" xfId="0"/>
    <xf numFmtId="10" fontId="0" fillId="5" borderId="1" pivotButton="0" quotePrefix="0" xfId="0"/>
    <xf numFmtId="2" fontId="0" fillId="4" borderId="1" pivotButton="0" quotePrefix="0" xfId="0"/>
    <xf numFmtId="2" fontId="0" fillId="3" borderId="1" pivotButton="0" quotePrefix="0" xfId="0"/>
    <xf numFmtId="2" fontId="2" fillId="5" borderId="1" pivotButton="0" quotePrefix="0" xfId="0"/>
    <xf numFmtId="164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789019/000095017025100235/msft-20250630.htm" TargetMode="External" Id="rId1" /><Relationship Type="http://schemas.openxmlformats.org/officeDocument/2006/relationships/hyperlink" Target="https://www.fool.com/earnings/call-transcripts/2026/04/29/microsoft-msft-q3-2026-earnings-transcript/" TargetMode="External" Id="rId2" /><Relationship Type="http://schemas.openxmlformats.org/officeDocument/2006/relationships/hyperlink" Target="https://news.alphastreet.com/microsoft-msft-q3-fy2026-azure-hits-40-growth-as-ai-business-reaches-37-billion-run-rate/" TargetMode="External" Id="rId3" /><Relationship Type="http://schemas.openxmlformats.org/officeDocument/2006/relationships/hyperlink" Target="https://techcrunch.com/2024/12/18/microsoft-bought-nearly-500000-nvidia-hopper-chips-this-year/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ool.com/earnings/call-transcripts/2026/02/04/alphabet-googl-q4-2025-earnings-call-transcript/" TargetMode="External" Id="rId1" /><Relationship Type="http://schemas.openxmlformats.org/officeDocument/2006/relationships/hyperlink" Target="https://www.cnbc.com/2026/04/29/alphabet-googl-q1-2026-earnings.html" TargetMode="External" Id="rId2" /><Relationship Type="http://schemas.openxmlformats.org/officeDocument/2006/relationships/hyperlink" Target="https://newsletter.semianalysis.com/p/tpuv7-google-takes-a-swing-at-the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018724/000101872426000004/amzn-20251231.htm" TargetMode="External" Id="rId1" /><Relationship Type="http://schemas.openxmlformats.org/officeDocument/2006/relationships/hyperlink" Target="https://www.fool.com/earnings/call-transcripts/2026/02/05/amazon-amzn-q4-2025-earnings-call-transcript/" TargetMode="External" Id="rId2" /><Relationship Type="http://schemas.openxmlformats.org/officeDocument/2006/relationships/hyperlink" Target="https://www.bnnbloomberg.ca/business/artificial-intelligence/2026/04/09/amazon-cloud-units-ai-revenue-run-rate-exceeds-us15-billion-in-first-quarter-ceo-says/" TargetMode="External" Id="rId3" /></Relationships>
</file>

<file path=xl/worksheets/_rels/sheet5.xml.rels><Relationships xmlns="http://schemas.openxmlformats.org/package/2006/relationships"><Relationship Type="http://schemas.openxmlformats.org/officeDocument/2006/relationships/hyperlink" Target="https://investor.atmeta.com/investor-news/press-release-details/2026/Meta-Reports-Fourth-Quarter-and-Full-Year-2025-Results/default.aspx" TargetMode="External" Id="rId1" /><Relationship Type="http://schemas.openxmlformats.org/officeDocument/2006/relationships/hyperlink" Target="https://www.fool.com/earnings/call-transcripts/2026/04/29/meta-meta-q1-2026-earnings-call-transcript/" TargetMode="External" Id="rId2" /><Relationship Type="http://schemas.openxmlformats.org/officeDocument/2006/relationships/hyperlink" Target="https://techcrunch.com/2025/01/24/mark-zuckerberg-says-meta-will-have-1-3m-gpus-for-ai-by-year-end/" TargetMode="External" Id="rId3" /><Relationship Type="http://schemas.openxmlformats.org/officeDocument/2006/relationships/hyperlink" Target="https://www.thestack.technology/meta-extends-server-life-again-saving-it-2-9-billion/" TargetMode="External" Id="rId4" /><Relationship Type="http://schemas.openxmlformats.org/officeDocument/2006/relationships/hyperlink" Target="https://finance.yahoo.com/news/big-techs-spending-drove-nvidias-rise-154027146.html" TargetMode="External" Id="rId5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iodive.com/news/oracle-capex-spike-cloud-ai-data-center/807721/" TargetMode="External" Id="rId1" /><Relationship Type="http://schemas.openxmlformats.org/officeDocument/2006/relationships/hyperlink" Target="https://futurumgroup.com/insights/oracle-delivers-q4-fy-2025-results-with-27-cloud-growth-rpo-hits-138-billion/" TargetMode="External" Id="rId2" /><Relationship Type="http://schemas.openxmlformats.org/officeDocument/2006/relationships/hyperlink" Target="https://futurumgroup.com/insights/oracle-q2-fy-2026-cloud-grows-capex-rises-for-ai-buildout/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181412/000162828026036936/spaceexplorationtechnologi.htm" TargetMode="External" Id="rId1" /><Relationship Type="http://schemas.openxmlformats.org/officeDocument/2006/relationships/hyperlink" Target="https://www.hl.co.uk/news/inside-spacexs-ipo-filing-revenue-starlink-ai-and-key-financials" TargetMode="External" Id="rId2" /><Relationship Type="http://schemas.openxmlformats.org/officeDocument/2006/relationships/hyperlink" Target="https://www.investing.com/analysis/spacex-is-quietly-becoming-an-ai-compute-and-orbital-infrastructure-company-200681776" TargetMode="External" Id="rId3" /><Relationship Type="http://schemas.openxmlformats.org/officeDocument/2006/relationships/hyperlink" Target="https://www.datacenterdynamics.com/en/news/spacex-ipo-musks-firm-set-to-launch-first-orbital-data-center-ai1-satellites-in-2027-will-put-compute-on-starlink-craft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1" customWidth="1" min="4" max="4"/>
    <col width="12" customWidth="1" min="5" max="5"/>
    <col width="13" customWidth="1" min="6" max="6"/>
    <col width="13" customWidth="1" min="7" max="7"/>
    <col width="9" customWidth="1" min="8" max="8"/>
  </cols>
  <sheetData>
    <row r="1">
      <c r="A1" s="1" t="inlineStr">
        <is>
          <t>6-COMPANY AI ECONOMICS — current AI cash burn &amp; the effect of our architecture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They all spend far more on AI (capex + opex) than they earn from it -- they are losing money on AI today. Our architecture cuts the accelerator spend ~95%, shrinking the burn. The named firms are a floor; a GLOBAL estimate grosses up for the rest. Yellow assumption cells (also sliders in the app) and green disclosed-data cells live on company tabs.</t>
        </is>
      </c>
    </row>
    <row r="4">
      <c r="A4" s="1" t="inlineStr">
        <is>
          <t>NET AI ECONOMICS — FY2025 (cash basis: AI revenue - AI capex - AI opex)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Company</t>
        </is>
      </c>
      <c r="B5" s="4" t="inlineStr">
        <is>
          <t>AI revenue ($B)</t>
        </is>
      </c>
      <c r="C5" s="4" t="inlineStr">
        <is>
          <t>AI capex ($B)</t>
        </is>
      </c>
      <c r="D5" s="4" t="inlineStr">
        <is>
          <t>AI opex ($B)</t>
        </is>
      </c>
      <c r="E5" s="4" t="inlineStr">
        <is>
          <t>Net AI NOW ($B)</t>
        </is>
      </c>
      <c r="F5" s="4" t="inlineStr">
        <is>
          <t>Spend cut, our arch ($B)</t>
        </is>
      </c>
      <c r="G5" s="4" t="inlineStr">
        <is>
          <t>Net AI W/ ARCH ($B)</t>
        </is>
      </c>
      <c r="H5" s="4" t="inlineStr">
        <is>
          <t>% spend cut</t>
        </is>
      </c>
    </row>
    <row r="6">
      <c r="A6" t="inlineStr">
        <is>
          <t>Microsoft</t>
        </is>
      </c>
      <c r="B6" s="5">
        <f>Microsoft!$B$32</f>
        <v/>
      </c>
      <c r="C6" s="5">
        <f>Microsoft!$B$33</f>
        <v/>
      </c>
      <c r="D6" s="5">
        <f>Microsoft!$B$34</f>
        <v/>
      </c>
      <c r="E6" s="6">
        <f>Microsoft!$B$35</f>
        <v/>
      </c>
      <c r="F6" s="5">
        <f>Microsoft!$B$36</f>
        <v/>
      </c>
      <c r="G6" s="6">
        <f>Microsoft!$B$37</f>
        <v/>
      </c>
      <c r="H6" s="7">
        <f>Microsoft!$B$38</f>
        <v/>
      </c>
    </row>
    <row r="7">
      <c r="A7" t="inlineStr">
        <is>
          <t>Alphabet</t>
        </is>
      </c>
      <c r="B7" s="5">
        <f>Alphabet!$B$32</f>
        <v/>
      </c>
      <c r="C7" s="5">
        <f>Alphabet!$B$33</f>
        <v/>
      </c>
      <c r="D7" s="5">
        <f>Alphabet!$B$34</f>
        <v/>
      </c>
      <c r="E7" s="6">
        <f>Alphabet!$B$35</f>
        <v/>
      </c>
      <c r="F7" s="5">
        <f>Alphabet!$B$36</f>
        <v/>
      </c>
      <c r="G7" s="6">
        <f>Alphabet!$B$37</f>
        <v/>
      </c>
      <c r="H7" s="7">
        <f>Alphabet!$B$38</f>
        <v/>
      </c>
    </row>
    <row r="8">
      <c r="A8" t="inlineStr">
        <is>
          <t>Amazon</t>
        </is>
      </c>
      <c r="B8" s="5">
        <f>Amazon!$B$32</f>
        <v/>
      </c>
      <c r="C8" s="5">
        <f>Amazon!$B$33</f>
        <v/>
      </c>
      <c r="D8" s="5">
        <f>Amazon!$B$34</f>
        <v/>
      </c>
      <c r="E8" s="6">
        <f>Amazon!$B$35</f>
        <v/>
      </c>
      <c r="F8" s="5">
        <f>Amazon!$B$36</f>
        <v/>
      </c>
      <c r="G8" s="6">
        <f>Amazon!$B$37</f>
        <v/>
      </c>
      <c r="H8" s="7">
        <f>Amazon!$B$38</f>
        <v/>
      </c>
    </row>
    <row r="9">
      <c r="A9" t="inlineStr">
        <is>
          <t>Meta</t>
        </is>
      </c>
      <c r="B9" s="5">
        <f>Meta!$B$32</f>
        <v/>
      </c>
      <c r="C9" s="5">
        <f>Meta!$B$33</f>
        <v/>
      </c>
      <c r="D9" s="5">
        <f>Meta!$B$34</f>
        <v/>
      </c>
      <c r="E9" s="6">
        <f>Meta!$B$35</f>
        <v/>
      </c>
      <c r="F9" s="5">
        <f>Meta!$B$36</f>
        <v/>
      </c>
      <c r="G9" s="6">
        <f>Meta!$B$37</f>
        <v/>
      </c>
      <c r="H9" s="7">
        <f>Meta!$B$38</f>
        <v/>
      </c>
    </row>
    <row r="10">
      <c r="A10" t="inlineStr">
        <is>
          <t>Oracle</t>
        </is>
      </c>
      <c r="B10" s="5">
        <f>Oracle!$B$32</f>
        <v/>
      </c>
      <c r="C10" s="5">
        <f>Oracle!$B$33</f>
        <v/>
      </c>
      <c r="D10" s="5">
        <f>Oracle!$B$34</f>
        <v/>
      </c>
      <c r="E10" s="6">
        <f>Oracle!$B$35</f>
        <v/>
      </c>
      <c r="F10" s="5">
        <f>Oracle!$B$36</f>
        <v/>
      </c>
      <c r="G10" s="6">
        <f>Oracle!$B$37</f>
        <v/>
      </c>
      <c r="H10" s="7">
        <f>Oracle!$B$38</f>
        <v/>
      </c>
    </row>
    <row r="11">
      <c r="A11" t="inlineStr">
        <is>
          <t>SpaceX</t>
        </is>
      </c>
      <c r="B11" s="5">
        <f>SpaceX!$B$32</f>
        <v/>
      </c>
      <c r="C11" s="5">
        <f>SpaceX!$B$33</f>
        <v/>
      </c>
      <c r="D11" s="5">
        <f>SpaceX!$B$34</f>
        <v/>
      </c>
      <c r="E11" s="6">
        <f>SpaceX!$B$35</f>
        <v/>
      </c>
      <c r="F11" s="5">
        <f>SpaceX!$B$36</f>
        <v/>
      </c>
      <c r="G11" s="6">
        <f>SpaceX!$B$37</f>
        <v/>
      </c>
      <c r="H11" s="7">
        <f>SpaceX!$B$38</f>
        <v/>
      </c>
    </row>
    <row r="12">
      <c r="A12" s="8" t="inlineStr">
        <is>
          <t>TOTAL (6)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9">
        <f>SUM(F6:F11)</f>
        <v/>
      </c>
      <c r="G12" s="9">
        <f>SUM(G6:G11)</f>
        <v/>
      </c>
      <c r="H12" s="10">
        <f>F12/(C12+D12)</f>
        <v/>
      </c>
    </row>
    <row r="13">
      <c r="A13" s="8" t="inlineStr">
        <is>
          <t>FY2026 (estimate)</t>
        </is>
      </c>
      <c r="E13" s="11">
        <f>SUM(Microsoft!$C$35,Alphabet!$C$35,Amazon!$C$35,Meta!$C$35,Oracle!$C$35,SpaceX!$C$35)</f>
        <v/>
      </c>
      <c r="F13" s="11">
        <f>SUM(Microsoft!$C$36,Alphabet!$C$36,Amazon!$C$36,Meta!$C$36,Oracle!$C$36,SpaceX!$C$36)</f>
        <v/>
      </c>
      <c r="G13" s="11">
        <f>SUM(Microsoft!$C$37,Alphabet!$C$37,Amazon!$C$37,Meta!$C$37,Oracle!$C$37,SpaceX!$C$37)</f>
        <v/>
      </c>
    </row>
    <row r="15">
      <c r="A15" s="1" t="inlineStr">
        <is>
          <t>SAVINGS BREAKDOWN — the spend cut, split</t>
        </is>
      </c>
      <c r="B15" s="2" t="n"/>
      <c r="C15" s="2" t="n"/>
      <c r="D15" s="2" t="n"/>
      <c r="E15" s="2" t="n"/>
      <c r="F15" s="2" t="n"/>
      <c r="G15" s="2" t="n"/>
      <c r="H15" s="2" t="n"/>
    </row>
    <row r="16">
      <c r="A16" t="inlineStr">
        <is>
          <t>Cost-weighted reduction (Amdahl)</t>
        </is>
      </c>
      <c r="B16" s="12">
        <f>Inputs!$B$20</f>
        <v/>
      </c>
      <c r="C16" t="inlineStr">
        <is>
          <t>x</t>
        </is>
      </c>
    </row>
    <row r="18">
      <c r="B18" s="8" t="inlineStr">
        <is>
          <t>Saved OPEX</t>
        </is>
      </c>
      <c r="C18" s="4" t="inlineStr">
        <is>
          <t>Avoided CAPEX (Overspend)</t>
        </is>
      </c>
      <c r="D18" s="8" t="inlineStr">
        <is>
          <t>Total</t>
        </is>
      </c>
    </row>
    <row r="19">
      <c r="A19" t="inlineStr">
        <is>
          <t>FY2025 annual ($B/yr)</t>
        </is>
      </c>
      <c r="B19" s="5">
        <f>SUM(Microsoft!B26,Alphabet!B26,Amazon!B26,Meta!B26,Oracle!B26,SpaceX!B26)/1000</f>
        <v/>
      </c>
      <c r="C19" s="5">
        <f>SUM(Microsoft!B25,Alphabet!B25,Amazon!B25,Meta!B25,Oracle!B25,SpaceX!B25)</f>
        <v/>
      </c>
      <c r="D19" s="5">
        <f>B19+C19</f>
        <v/>
      </c>
    </row>
    <row r="20">
      <c r="A20" s="8" t="inlineStr">
        <is>
          <t>FY2025 capitalized ($B)</t>
        </is>
      </c>
      <c r="B20" s="13">
        <f>B19/Inputs!$B$6</f>
        <v/>
      </c>
      <c r="C20" s="13">
        <f>C19/Inputs!$B$6</f>
        <v/>
      </c>
      <c r="D20" s="13">
        <f>B20+C20</f>
        <v/>
      </c>
    </row>
    <row r="21">
      <c r="A21" t="inlineStr">
        <is>
          <t>FY2026 annual ($B/yr)</t>
        </is>
      </c>
      <c r="B21" s="5">
        <f>SUM(Microsoft!C26,Alphabet!C26,Amazon!C26,Meta!C26,Oracle!C26,SpaceX!C26)/1000</f>
        <v/>
      </c>
      <c r="C21" s="5">
        <f>SUM(Microsoft!C25,Alphabet!C25,Amazon!C25,Meta!C25,Oracle!C25,SpaceX!C25)</f>
        <v/>
      </c>
      <c r="D21" s="5">
        <f>B21+C21</f>
        <v/>
      </c>
    </row>
    <row r="22">
      <c r="A22" s="8" t="inlineStr">
        <is>
          <t>FY2026 capitalized ($B)</t>
        </is>
      </c>
      <c r="B22" s="13">
        <f>B21/Inputs!$B$6</f>
        <v/>
      </c>
      <c r="C22" s="13">
        <f>C21/Inputs!$B$6</f>
        <v/>
      </c>
      <c r="D22" s="13">
        <f>B22+C22</f>
        <v/>
      </c>
    </row>
    <row r="23">
      <c r="A23" s="8" t="inlineStr">
        <is>
          <t>GLOBAL capitalized -- est. ($B)</t>
        </is>
      </c>
      <c r="B23" s="13">
        <f>D20/Inputs!$B$14</f>
        <v/>
      </c>
      <c r="C23" s="13">
        <f>D22/Inputs!$B$14</f>
        <v/>
      </c>
      <c r="D23" s="3" t="inlineStr">
        <is>
          <t>named-floor capitalized / named-share-of-global (Inputs B14). ESTIMATE: grosses up for other clouds, China, neoclouds, xAI, sovereign.</t>
        </is>
      </c>
    </row>
    <row r="24">
      <c r="A24" t="inlineStr">
        <is>
          <t>% reduction</t>
        </is>
      </c>
      <c r="B24" s="7">
        <f>1-1/Inputs!$B$5</f>
        <v/>
      </c>
      <c r="C24" s="7">
        <f>1-1/Inputs!$B$20</f>
        <v/>
      </c>
    </row>
    <row r="25">
      <c r="A25" s="3" t="inlineStr">
        <is>
          <t>OPEX = power saved each year (recoupable). CAPEX 'Overspend' = AI capex made unnecessary. TOGGLE: Inputs 'Datacenter scaling factor' (0 = accelerator-only/conservative; 1 = whole datacenter scales with the smaller fleet). At 0 the burn ~halves; at ~0.7 net AI hits breakeven; at 1 it flips positive. Capitalized = annual / discount rate.</t>
        </is>
      </c>
    </row>
    <row r="27">
      <c r="A27" s="1" t="inlineStr">
        <is>
          <t>TABS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8" t="inlineStr">
        <is>
          <t>Microsoft / Alphabet / Amazon / Meta / Oracle / SpaceX</t>
        </is>
      </c>
      <c r="B28" s="3" t="inlineStr">
        <is>
          <t>one tab each: full build capex -&gt; infra -&gt; servers -&gt; accelerator -&gt; fleet/opex -&gt; value</t>
        </is>
      </c>
    </row>
    <row r="29">
      <c r="A29" s="8" t="inlineStr">
        <is>
          <t>Inputs</t>
        </is>
      </c>
      <c r="B29" s="3" t="inlineStr">
        <is>
          <t>global assumptions + the reduction engine (cost-weighted factor)</t>
        </is>
      </c>
    </row>
    <row r="30">
      <c r="A30" s="8" t="inlineStr">
        <is>
          <t>Sensitivity</t>
        </is>
      </c>
      <c r="B30" s="3" t="inlineStr">
        <is>
          <t>SpaceX value across reduction tiers (10x/30x/100x/cost-weighted)</t>
        </is>
      </c>
    </row>
    <row r="31">
      <c r="A31" s="8" t="inlineStr">
        <is>
          <t>CostLadder</t>
        </is>
      </c>
      <c r="B31" s="3" t="inlineStr">
        <is>
          <t>own-silicon vs buy-NVIDIA vs rent $/GPU-hr</t>
        </is>
      </c>
    </row>
    <row r="32">
      <c r="A32" s="8" t="inlineStr">
        <is>
          <t>Evidence</t>
        </is>
      </c>
      <c r="B32" s="3" t="inlineStr">
        <is>
          <t>BOM cost split, accelerator-share data, own-silicon TCO, filing top-lines</t>
        </is>
      </c>
    </row>
    <row r="33">
      <c r="A33" s="8" t="inlineStr">
        <is>
          <t>Methodology</t>
        </is>
      </c>
      <c r="B33" s="3" t="inlineStr">
        <is>
          <t>step-by-step logic, caveats, sources</t>
        </is>
      </c>
    </row>
    <row r="35">
      <c r="A35" s="8" t="inlineStr">
        <is>
          <t>Legend: yellow = assumption / lever (each maps to a slider in the Streamlit app)  ·  green = disclosed filing or market data  ·  blue = derived formula.</t>
        </is>
      </c>
    </row>
  </sheetData>
  <mergeCells count="9">
    <mergeCell ref="B32:H32"/>
    <mergeCell ref="A35:H35"/>
    <mergeCell ref="A25:H25"/>
    <mergeCell ref="A2:H2"/>
    <mergeCell ref="B31:H31"/>
    <mergeCell ref="B30:H30"/>
    <mergeCell ref="B29:H29"/>
    <mergeCell ref="B33:H33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Microsoft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88</v>
      </c>
      <c r="C3" s="15" t="n">
        <v>190</v>
      </c>
      <c r="D3" s="3" t="inlineStr">
        <is>
          <t>FY25 capex incl leases ~$88B [DISCLOSED proxy]; FY26 ~$190B CY26 guide. Short-lived 'half'-&gt;'two-thirds' (CFO). Accel ~75% [BOM]. AI rev $37B run-rate (Q3 FY26).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0.5</v>
      </c>
      <c r="C5" s="16" t="n">
        <v>0.67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0.75</v>
      </c>
      <c r="C6" s="16" t="n">
        <v>0.75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3700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30</v>
      </c>
      <c r="C32" s="15" t="n">
        <v>50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&gt;$88B incl leases; server life 2-6yr (FY25 10-K)</t>
        </is>
      </c>
      <c r="B41" s="22" t="inlineStr">
        <is>
          <t>https://www.sec.gov/Archives/edgar/data/789019/000095017025100235/msft-20250630.htm</t>
        </is>
      </c>
    </row>
    <row r="42">
      <c r="A42" s="3" t="inlineStr">
        <is>
          <t>FY26 ~$190B guide; 'two-thirds' short-lived = GPUs+CPUs (Q3 FY26 call)</t>
        </is>
      </c>
      <c r="B42" s="22" t="inlineStr">
        <is>
          <t>https://www.fool.com/earnings/call-transcripts/2026/04/29/microsoft-msft-q3-2026-earnings-transcript/</t>
        </is>
      </c>
    </row>
    <row r="43">
      <c r="A43" s="3" t="inlineStr">
        <is>
          <t>AI revenue $37B annual run-rate (Q3 FY26)</t>
        </is>
      </c>
      <c r="B43" s="22" t="inlineStr">
        <is>
          <t>https://news.alphastreet.com/microsoft-msft-q3-fy2026-azure-hits-40-growth-as-ai-business-reaches-37-billion-run-rate/</t>
        </is>
      </c>
    </row>
    <row r="44">
      <c r="A44" s="3" t="inlineStr">
        <is>
          <t>~485k Hopper GPUs / ~$31B in 2024 (Omdia) - cross-checks accel capex</t>
        </is>
      </c>
      <c r="B44" s="22" t="inlineStr">
        <is>
          <t>https://techcrunch.com/2024/12/18/microsoft-bought-nearly-500000-nvidia-hopper-chips-this-year/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Alphabet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91.40000000000001</v>
      </c>
      <c r="C3" s="15" t="n">
        <v>185</v>
      </c>
      <c r="D3" s="3" t="inlineStr">
        <is>
          <t>FY25 capex $91.4B [DISCLOSED]; FY26 $180-190B guide. 60% servers / 40% DC (CFO). Accel ~67% [BOM]. AI rev ESTIMATE (Cloud $70B run-rate, AI subset).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</v>
      </c>
      <c r="C5" s="16" t="n">
        <v>0.6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2600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25</v>
      </c>
      <c r="C32" s="15" t="n">
        <v>40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$91.4B; CFO 60% servers / 40% DC+net (Q4'25 call)</t>
        </is>
      </c>
      <c r="B41" s="22" t="inlineStr">
        <is>
          <t>https://www.fool.com/earnings/call-transcripts/2026/02/04/alphabet-googl-q4-2025-earnings-call-transcript/</t>
        </is>
      </c>
    </row>
    <row r="42">
      <c r="A42" s="3" t="inlineStr">
        <is>
          <t>FY26 guide $180-190B (Q1'26)</t>
        </is>
      </c>
      <c r="B42" s="22" t="inlineStr">
        <is>
          <t>https://www.cnbc.com/2026/04/29/alphabet-googl-q1-2026-earnings.html</t>
        </is>
      </c>
    </row>
    <row r="43">
      <c r="A43" s="3" t="inlineStr">
        <is>
          <t>Server life 6yr; TPU at-cost TCO 20-50% below NVIDIA (SemiAnalysis)</t>
        </is>
      </c>
      <c r="B43" s="22" t="inlineStr">
        <is>
          <t>https://newsletter.semianalysis.com/p/tpuv7-google-takes-a-swing-at-the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Amazon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128.3</v>
      </c>
      <c r="C3" s="15" t="n">
        <v>200</v>
      </c>
      <c r="D3" s="3" t="inlineStr">
        <is>
          <t>FY25 cash capex $128.3B [DISCLOSED]; FY26 ~$200B. AWS ~68-70% -&gt; strips fulfillment. Accel ~67% [BOM]. AI rev &gt;$15B AWS run-rate (Q1 FY26, Jassy).</t>
        </is>
      </c>
    </row>
    <row r="4">
      <c r="A4" t="inlineStr">
        <is>
          <t>Infra / data-center share</t>
        </is>
      </c>
      <c r="B4" s="16" t="n">
        <v>0.68</v>
      </c>
      <c r="C4" s="16" t="n">
        <v>0.7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2400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12</v>
      </c>
      <c r="C32" s="15" t="n">
        <v>22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cash capex $128.3B; AWS 67.8% of net P&amp;E adds; server life 6-&gt;5yr (FY25 10-K)</t>
        </is>
      </c>
      <c r="B41" s="22" t="inlineStr">
        <is>
          <t>https://www.sec.gov/Archives/edgar/data/1018724/000101872426000004/amzn-20251231.htm</t>
        </is>
      </c>
    </row>
    <row r="42">
      <c r="A42" s="3" t="inlineStr">
        <is>
          <t>~$200B 2026 capex, 'predominantly AWS' (Q4'25 call)</t>
        </is>
      </c>
      <c r="B42" s="22" t="inlineStr">
        <is>
          <t>https://www.fool.com/earnings/call-transcripts/2026/02/05/amazon-amzn-q4-2025-earnings-call-transcript/</t>
        </is>
      </c>
    </row>
    <row r="43">
      <c r="A43" s="3" t="inlineStr">
        <is>
          <t>AWS AI revenue &gt;$15B annual run-rate (Q1'26, Jassy)</t>
        </is>
      </c>
      <c r="B43" s="22" t="inlineStr">
        <is>
          <t>https://www.bnnbloomberg.ca/business/artificial-intelligence/2026/04/09/amazon-cloud-units-ai-revenue-run-rate-exceeds-us15-billion-in-first-quarter-ceo-says/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Meta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72.2</v>
      </c>
      <c r="C3" s="15" t="n">
        <v>135</v>
      </c>
      <c r="D3" s="3" t="inlineStr">
        <is>
          <t>FY25 capex incl leases $72.2B [DISCLOSED]; FY26 $125-145B. Accel ~74% [BOM]. AI rev DIRECT est ~$4B -- Meta's real AI payoff is INDIRECT ad-uplift (~$20B), not counted.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0.74</v>
      </c>
      <c r="C6" s="16" t="n">
        <v>0.74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1900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4</v>
      </c>
      <c r="C32" s="15" t="n">
        <v>8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$72.2B incl finance leases (Q4/FY25 release)</t>
        </is>
      </c>
      <c r="B41" s="22" t="inlineStr">
        <is>
          <t>https://investor.atmeta.com/investor-news/press-release-details/2026/Meta-Reports-Fourth-Quarter-and-Full-Year-2025-Results/default.aspx</t>
        </is>
      </c>
    </row>
    <row r="42">
      <c r="A42" s="3" t="inlineStr">
        <is>
          <t>FY26 $125-145B guide; raise driven by HBM pricing (Q1'26 call)</t>
        </is>
      </c>
      <c r="B42" s="22" t="inlineStr">
        <is>
          <t>https://www.fool.com/earnings/call-transcripts/2026/04/29/meta-meta-q1-2026-earnings-call-transcript/</t>
        </is>
      </c>
    </row>
    <row r="43">
      <c r="A43" s="3" t="inlineStr">
        <is>
          <t>&gt;1.3M GPUs by end-2025 (Zuckerberg) - cross-checks accel capex</t>
        </is>
      </c>
      <c r="B43" s="22" t="inlineStr">
        <is>
          <t>https://techcrunch.com/2025/01/24/mark-zuckerberg-says-meta-will-have-1-3m-gpus-for-ai-by-year-end/</t>
        </is>
      </c>
    </row>
    <row r="44">
      <c r="A44" s="3" t="inlineStr">
        <is>
          <t>Server life 5.5yr (-$2.9B depreciation)</t>
        </is>
      </c>
      <c r="B44" s="22" t="inlineStr">
        <is>
          <t>https://www.thestack.technology/meta-extends-server-life-again-saving-it-2-9-billion/</t>
        </is>
      </c>
    </row>
    <row r="45">
      <c r="A45" s="3" t="inlineStr">
        <is>
          <t>~25% of capex to NVIDIA (Bloomberg) - accel-share basis</t>
        </is>
      </c>
      <c r="B45" s="22" t="inlineStr">
        <is>
          <t>https://finance.yahoo.com/news/big-techs-spending-drove-nvidias-rise-154027146.html</t>
        </is>
      </c>
    </row>
  </sheetData>
  <mergeCells count="5">
    <mergeCell ref="B42:D42"/>
    <mergeCell ref="B45:D45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  <hyperlink xmlns:r="http://schemas.openxmlformats.org/officeDocument/2006/relationships" ref="B4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Oracle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21.2</v>
      </c>
      <c r="C3" s="15" t="n">
        <v>50</v>
      </c>
      <c r="D3" s="3" t="inlineStr">
        <is>
          <t>FY25 capex $21.2B [DISCLOSED 10-K]; FY26 ~$50B guide (rev $67B). Capex ~all OCI/GPU data centers. Accel ~70% [BOM]. AI rev = OCI/GPU cloud (IaaS ~$12B r/r Q4 FY25; AI subset, EST).</t>
        </is>
      </c>
    </row>
    <row r="4">
      <c r="A4" t="inlineStr">
        <is>
          <t>Infra / data-center share</t>
        </is>
      </c>
      <c r="B4" s="16" t="n">
        <v>0.85</v>
      </c>
      <c r="C4" s="16" t="n">
        <v>0.9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0.75</v>
      </c>
      <c r="C5" s="16" t="n">
        <v>0.75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</v>
      </c>
      <c r="C6" s="16" t="n">
        <v>0.7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8</v>
      </c>
      <c r="C32" s="15" t="n">
        <v>15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$21.2B; FY26 ~$50B guide on $67B rev (CIO Dive)</t>
        </is>
      </c>
      <c r="B41" s="22" t="inlineStr">
        <is>
          <t>https://www.ciodive.com/news/oracle-capex-spike-cloud-ai-data-center/807721/</t>
        </is>
      </c>
    </row>
    <row r="42">
      <c r="A42" s="3" t="inlineStr">
        <is>
          <t>OCI run-rate ~$27B exiting FY25; IaaS $3.0B Q4 +52%; RPO $138B (Q4 FY25)</t>
        </is>
      </c>
      <c r="B42" s="22" t="inlineStr">
        <is>
          <t>https://futurumgroup.com/insights/oracle-delivers-q4-fy-2025-results-with-27-cloud-growth-rpo-hits-138-billion/</t>
        </is>
      </c>
    </row>
    <row r="43">
      <c r="A43" s="3" t="inlineStr">
        <is>
          <t>FY26 OCI +77% to ~$18B; RPO $523B +433% on AI deals (Q2 FY26)</t>
        </is>
      </c>
      <c r="B43" s="22" t="inlineStr">
        <is>
          <t>https://futurumgroup.com/insights/oracle-q2-fy-2026-cloud-grows-capex-rises-for-ai-buildout/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SpaceX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12.7</v>
      </c>
      <c r="C3" s="15" t="n">
        <v>18</v>
      </c>
      <c r="D3" s="3" t="inlineStr">
        <is>
          <t>FY25 S-1 AI capex $12.7B [DISCLOSED]; FY26 ~$18B (ESTIMATE). ~all accelerator (greenfield). AI rev ~0 (nascent; Anthropic orbital compute is future).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0.79</v>
      </c>
      <c r="C5" s="16" t="n">
        <v>0.79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1</v>
      </c>
      <c r="C6" s="16" t="n">
        <v>1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1770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0.3</v>
      </c>
      <c r="C32" s="15" t="n">
        <v>1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S-1 registration statement (SEC EDGAR)</t>
        </is>
      </c>
      <c r="B41" s="22" t="inlineStr">
        <is>
          <t>https://www.sec.gov/Archives/edgar/data/1181412/000162828026036936/spaceexplorationtechnologi.htm</t>
        </is>
      </c>
    </row>
    <row r="42">
      <c r="A42" s="3" t="inlineStr">
        <is>
          <t>S-1 financials &amp; AI breakdown (Hargreaves Lansdown)</t>
        </is>
      </c>
      <c r="B42" s="22" t="inlineStr">
        <is>
          <t>https://www.hl.co.uk/news/inside-spacexs-ipo-filing-revenue-starlink-ai-and-key-financials</t>
        </is>
      </c>
    </row>
    <row r="43">
      <c r="A43" s="3" t="inlineStr">
        <is>
          <t>$12.7B AI capex = ~60% of capex; COLOSSUS buildout (Investing.com)</t>
        </is>
      </c>
      <c r="B43" s="22" t="inlineStr">
        <is>
          <t>https://www.investing.com/analysis/spacex-is-quietly-becoming-an-ai-compute-and-orbital-infrastructure-company-200681776</t>
        </is>
      </c>
    </row>
    <row r="44">
      <c r="A44" s="3" t="inlineStr">
        <is>
          <t>AI1 orbital data centers; Anthropic as compute customer (DCD)</t>
        </is>
      </c>
      <c r="B44" s="22" t="inlineStr">
        <is>
          <t>https://www.datacenterdynamics.com/en/news/spacex-ipo-musks-firm-set-to-launch-first-orbital-data-center-ai1-satellites-in-2027-will-put-compute-on-starlink-craft/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8" customWidth="1" min="3" max="3"/>
    <col width="76" customWidth="1" min="4" max="4"/>
  </cols>
  <sheetData>
    <row r="1">
      <c r="A1" s="1" t="inlineStr">
        <is>
          <t>GLOBAL INPUTS  —  edit yellow (assumption) cells; green = disclosed/market data</t>
        </is>
      </c>
      <c r="B1" s="2" t="n"/>
      <c r="C1" s="2" t="n"/>
      <c r="D1" s="2" t="n"/>
    </row>
    <row r="2">
      <c r="A2" t="inlineStr">
        <is>
          <t>Memory reduction factor</t>
        </is>
      </c>
      <c r="B2" s="23" t="n">
        <v>100</v>
      </c>
      <c r="C2" t="inlineStr">
        <is>
          <t>x</t>
        </is>
      </c>
      <c r="D2" s="3" t="inlineStr">
        <is>
          <t>1e-2 memory = 100x less (RNN O(1) state vs transformer O(T) KV cache).</t>
        </is>
      </c>
    </row>
    <row r="3">
      <c r="A3" t="inlineStr">
        <is>
          <t>FLOPs reduction factor</t>
        </is>
      </c>
      <c r="B3" s="23" t="n">
        <v>10</v>
      </c>
      <c r="C3" t="inlineStr">
        <is>
          <t>x</t>
        </is>
      </c>
      <c r="D3" s="3" t="inlineStr">
        <is>
          <t>1e-1 FLOPs = 10x fewer.</t>
        </is>
      </c>
    </row>
    <row r="4">
      <c r="A4" t="inlineStr">
        <is>
          <t>Memory share of GPU cost (BOM)</t>
        </is>
      </c>
      <c r="B4" s="24" t="n">
        <v>0.6</v>
      </c>
      <c r="C4" t="inlineStr">
        <is>
          <t>frac</t>
        </is>
      </c>
      <c r="D4" s="3" t="inlineStr">
        <is>
          <t>HBM ~45% of B200 COGS + most CoWoS packaging -&gt; ~60% memory / ~40% compute. See Evidence.</t>
        </is>
      </c>
    </row>
    <row r="5">
      <c r="A5" t="inlineStr">
        <is>
          <t>Opex / energy reduction factor</t>
        </is>
      </c>
      <c r="B5" s="23">
        <f>B20</f>
        <v/>
      </c>
      <c r="C5" t="inlineStr">
        <is>
          <t>x</t>
        </is>
      </c>
      <c r="D5" s="3" t="inlineStr">
        <is>
          <t>DERIVED default = cost-weighted reduction (B20): energy splits memory/compute like cost. Overtype this cell to override.</t>
        </is>
      </c>
    </row>
    <row r="6">
      <c r="A6" t="inlineStr">
        <is>
          <t>Discount rate</t>
        </is>
      </c>
      <c r="B6" s="24" t="n">
        <v>0.1</v>
      </c>
      <c r="C6" t="inlineStr">
        <is>
          <t>frac</t>
        </is>
      </c>
      <c r="D6" s="3" t="inlineStr">
        <is>
          <t>Perpetuity capitalization: value = annual benefit / rate (=10x at 10%).</t>
        </is>
      </c>
    </row>
    <row r="7">
      <c r="A7" t="inlineStr">
        <is>
          <t>Fully-loaded cost per GPU</t>
        </is>
      </c>
      <c r="B7" s="25" t="n">
        <v>50000</v>
      </c>
      <c r="C7" t="inlineStr">
        <is>
          <t>$</t>
        </is>
      </c>
      <c r="D7" s="3" t="inlineStr">
        <is>
          <t>B200-class GPU + share of server, NVLink, networking.</t>
        </is>
      </c>
    </row>
    <row r="8">
      <c r="A8" t="inlineStr">
        <is>
          <t>Wall power per GPU</t>
        </is>
      </c>
      <c r="B8" s="23" t="n">
        <v>1.8</v>
      </c>
      <c r="C8" t="inlineStr">
        <is>
          <t>kW</t>
        </is>
      </c>
      <c r="D8" s="3" t="inlineStr">
        <is>
          <t>~1 kW TDP + node overhead x PUE 1.3.</t>
        </is>
      </c>
    </row>
    <row r="9">
      <c r="A9" t="inlineStr">
        <is>
          <t>Electricity rate</t>
        </is>
      </c>
      <c r="B9" s="23" t="n">
        <v>0.08</v>
      </c>
      <c r="C9" t="inlineStr">
        <is>
          <t>$/kWh</t>
        </is>
      </c>
      <c r="D9" s="3" t="inlineStr">
        <is>
          <t>Datacenter wholesale; raise to 0.10-0.12 for grid colo.</t>
        </is>
      </c>
    </row>
    <row r="10">
      <c r="A10" t="inlineStr">
        <is>
          <t>Cooling/ops overhead on energy</t>
        </is>
      </c>
      <c r="B10" s="24" t="n">
        <v>0.25</v>
      </c>
      <c r="C10" t="inlineStr">
        <is>
          <t>frac</t>
        </is>
      </c>
      <c r="D10" s="3" t="inlineStr">
        <is>
          <t>Non-power running cost as fraction of electricity.</t>
        </is>
      </c>
    </row>
    <row r="11">
      <c r="A11" t="inlineStr">
        <is>
          <t>Fleet useful life</t>
        </is>
      </c>
      <c r="B11" s="23" t="n">
        <v>4</v>
      </c>
      <c r="C11" t="inlineStr">
        <is>
          <t>yr</t>
        </is>
      </c>
      <c r="D11" s="3" t="inlineStr">
        <is>
          <t>AI-GPU depreciation life.</t>
        </is>
      </c>
    </row>
    <row r="12">
      <c r="A12" t="inlineStr">
        <is>
          <t>SpaceX market cap</t>
        </is>
      </c>
      <c r="B12" s="26" t="n">
        <v>1770</v>
      </c>
      <c r="C12" t="inlineStr">
        <is>
          <t>$B</t>
        </is>
      </c>
      <c r="D12" s="3" t="inlineStr">
        <is>
          <t>IPO 2026-06-12 ~$1.77T (market data; used by Sensitivity).</t>
        </is>
      </c>
    </row>
    <row r="13">
      <c r="A13" t="inlineStr">
        <is>
          <t>Datacenter scaling factor</t>
        </is>
      </c>
      <c r="B13" s="24" t="n">
        <v>0</v>
      </c>
      <c r="C13" t="inlineStr">
        <is>
          <t>frac</t>
        </is>
      </c>
      <c r="D13" s="3" t="inlineStr">
        <is>
          <t>TOGGLE 0-1. 0 = conservative (only accelerator silicon shrinks). 1 = whole AI datacenter (building/power/cooling/net) scales with the smaller fleet. ~0.7 ~= breakeven on net AI.</t>
        </is>
      </c>
    </row>
    <row r="14">
      <c r="A14" t="inlineStr">
        <is>
          <t>Named share of global AI capex</t>
        </is>
      </c>
      <c r="B14" s="24" t="n">
        <v>0.8</v>
      </c>
      <c r="C14" t="inlineStr">
        <is>
          <t>frac</t>
        </is>
      </c>
      <c r="D14" s="3" t="inlineStr">
        <is>
          <t>GLOBAL estimate (Totals): named firms' share of worldwide AI capex; the rest (other clouds, China, neoclouds, xAI, sovereign) is grossed up pro-rata. ESTIMATE.</t>
        </is>
      </c>
    </row>
    <row r="15">
      <c r="A15" s="1" t="inlineStr">
        <is>
          <t>REDUCTION ENGINE (Amdahl cost-weighting) — derived</t>
        </is>
      </c>
      <c r="B15" s="2" t="n"/>
      <c r="C15" s="2" t="n"/>
      <c r="D15" s="2" t="n"/>
    </row>
    <row r="16">
      <c r="A16" t="inlineStr">
        <is>
          <t>Compute share of GPU cost</t>
        </is>
      </c>
      <c r="B16" s="21">
        <f>1-B4</f>
        <v/>
      </c>
      <c r="D16" s="3" t="inlineStr">
        <is>
          <t>1 - memory share</t>
        </is>
      </c>
    </row>
    <row r="17">
      <c r="A17" t="inlineStr">
        <is>
          <t>Memory cost fraction after reduction</t>
        </is>
      </c>
      <c r="B17" s="27">
        <f>B4/B2</f>
        <v/>
      </c>
      <c r="D17" s="3" t="inlineStr">
        <is>
          <t>memory share / memory reduction</t>
        </is>
      </c>
    </row>
    <row r="18">
      <c r="A18" t="inlineStr">
        <is>
          <t>Compute cost fraction after reduction</t>
        </is>
      </c>
      <c r="B18" s="27">
        <f>B16/B3</f>
        <v/>
      </c>
      <c r="D18" s="3" t="inlineStr">
        <is>
          <t>compute share / FLOPs reduction</t>
        </is>
      </c>
    </row>
    <row r="19">
      <c r="A19" t="inlineStr">
        <is>
          <t>Residual cost fraction</t>
        </is>
      </c>
      <c r="B19" s="21">
        <f>B17+B18</f>
        <v/>
      </c>
      <c r="D19" s="3" t="inlineStr">
        <is>
          <t>Amdahl: floored by the least-reduced component</t>
        </is>
      </c>
    </row>
    <row r="20">
      <c r="A20" s="8" t="inlineStr">
        <is>
          <t>COST-WEIGHTED reduction factor</t>
        </is>
      </c>
      <c r="B20" s="12">
        <f>1/B19</f>
        <v/>
      </c>
      <c r="C20" t="inlineStr">
        <is>
          <t>x</t>
        </is>
      </c>
      <c r="D20" s="3" t="inlineStr">
        <is>
          <t>1 / residual. The realistic $ reduction used everywhere.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>
      <c r="A1" s="1" t="inlineStr">
        <is>
          <t>SENSITIVITY (SpaceX) — count-based reduction tiers vs cost-weighted</t>
        </is>
      </c>
      <c r="B1" s="2" t="n"/>
      <c r="C1" s="2" t="n"/>
      <c r="D1" s="2" t="n"/>
      <c r="E1" s="2" t="n"/>
    </row>
    <row r="2">
      <c r="A2" s="8" t="inlineStr">
        <is>
          <t>Metric</t>
        </is>
      </c>
      <c r="B2" s="4" t="inlineStr">
        <is>
          <t>10x compute-bound</t>
        </is>
      </c>
      <c r="C2" s="4" t="inlineStr">
        <is>
          <t>30x balanced</t>
        </is>
      </c>
      <c r="D2" s="4" t="inlineStr">
        <is>
          <t>100x memory-bound</t>
        </is>
      </c>
      <c r="E2" s="4" t="inlineStr">
        <is>
          <t>Cost-weighted</t>
        </is>
      </c>
    </row>
    <row r="3">
      <c r="A3" t="inlineStr">
        <is>
          <t>Efficient acquisition ($B)</t>
        </is>
      </c>
      <c r="B3" s="19">
        <f>SpaceX!$B$12/(10)</f>
        <v/>
      </c>
      <c r="C3" s="19">
        <f>SpaceX!$B$12/(30)</f>
        <v/>
      </c>
      <c r="D3" s="19">
        <f>SpaceX!$B$12/(100)</f>
        <v/>
      </c>
      <c r="E3" s="19">
        <f>SpaceX!$B$12/(Inputs!$B$20)</f>
        <v/>
      </c>
    </row>
    <row r="4">
      <c r="A4" t="inlineStr">
        <is>
          <t>Capex avoided/yr ($B)</t>
        </is>
      </c>
      <c r="B4" s="19">
        <f>SpaceX!$B$12-SpaceX!$B$12/(10)</f>
        <v/>
      </c>
      <c r="C4" s="19">
        <f>SpaceX!$B$12-SpaceX!$B$12/(30)</f>
        <v/>
      </c>
      <c r="D4" s="19">
        <f>SpaceX!$B$12-SpaceX!$B$12/(100)</f>
        <v/>
      </c>
      <c r="E4" s="19">
        <f>SpaceX!$B$12-SpaceX!$B$12/(Inputs!$B$20)</f>
        <v/>
      </c>
    </row>
    <row r="5">
      <c r="A5" t="inlineStr">
        <is>
          <t>Annual opex savings ($M)</t>
        </is>
      </c>
      <c r="B5" s="5">
        <f>SpaceX!$B$26</f>
        <v/>
      </c>
      <c r="C5" s="5">
        <f>SpaceX!$B$26</f>
        <v/>
      </c>
      <c r="D5" s="5">
        <f>SpaceX!$B$26</f>
        <v/>
      </c>
      <c r="E5" s="5">
        <f>SpaceX!$B$26</f>
        <v/>
      </c>
    </row>
    <row r="6">
      <c r="A6" t="inlineStr">
        <is>
          <t>Sustained annual benefit ($B)</t>
        </is>
      </c>
      <c r="B6" s="19">
        <f>(SpaceX!$B$12-SpaceX!$B$12/(10))+SpaceX!$B$26/1000</f>
        <v/>
      </c>
      <c r="C6" s="19">
        <f>(SpaceX!$B$12-SpaceX!$B$12/(30))+SpaceX!$B$26/1000</f>
        <v/>
      </c>
      <c r="D6" s="19">
        <f>(SpaceX!$B$12-SpaceX!$B$12/(100))+SpaceX!$B$26/1000</f>
        <v/>
      </c>
      <c r="E6" s="19">
        <f>(SpaceX!$B$12-SpaceX!$B$12/(Inputs!$B$20))+SpaceX!$B$26/1000</f>
        <v/>
      </c>
    </row>
    <row r="7">
      <c r="A7" t="inlineStr">
        <is>
          <t>Capitalized value ($B)</t>
        </is>
      </c>
      <c r="B7" s="18">
        <f>((SpaceX!$B$12-SpaceX!$B$12/(10))+SpaceX!$B$26/1000)/Inputs!$B$6</f>
        <v/>
      </c>
      <c r="C7" s="18">
        <f>((SpaceX!$B$12-SpaceX!$B$12/(30))+SpaceX!$B$26/1000)/Inputs!$B$6</f>
        <v/>
      </c>
      <c r="D7" s="18">
        <f>((SpaceX!$B$12-SpaceX!$B$12/(100))+SpaceX!$B$26/1000)/Inputs!$B$6</f>
        <v/>
      </c>
      <c r="E7" s="18">
        <f>((SpaceX!$B$12-SpaceX!$B$12/(Inputs!$B$20))+SpaceX!$B$26/1000)/Inputs!$B$6</f>
        <v/>
      </c>
    </row>
    <row r="8">
      <c r="A8" t="inlineStr">
        <is>
          <t>% of market cap</t>
        </is>
      </c>
      <c r="B8" s="21">
        <f>(((SpaceX!$B$12-SpaceX!$B$12/(10))+SpaceX!$B$26/1000)/Inputs!$B$6)/Inputs!$B$12</f>
        <v/>
      </c>
      <c r="C8" s="21">
        <f>(((SpaceX!$B$12-SpaceX!$B$12/(30))+SpaceX!$B$26/1000)/Inputs!$B$6)/Inputs!$B$12</f>
        <v/>
      </c>
      <c r="D8" s="21">
        <f>(((SpaceX!$B$12-SpaceX!$B$12/(100))+SpaceX!$B$26/1000)/Inputs!$B$6)/Inputs!$B$12</f>
        <v/>
      </c>
      <c r="E8" s="21">
        <f>(((SpaceX!$B$12-SpaceX!$B$12/(Inputs!$B$20))+SpaceX!$B$26/1000)/Inputs!$B$6)/Inputs!$B$12</f>
        <v/>
      </c>
    </row>
    <row r="10">
      <c r="A10" s="3" t="inlineStr">
        <is>
          <t>Base = SpaceX accelerator capex (SpaceX!B12), not total capex. The 'Cost-weighted' column ties to the SpaceX tab (B25/B27) at the conservative dc_scale=0.</t>
        </is>
      </c>
    </row>
  </sheetData>
  <mergeCells count="1">
    <mergeCell ref="A10:E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62" customWidth="1" min="4" max="4"/>
  </cols>
  <sheetData>
    <row r="1">
      <c r="A1" s="1" t="inlineStr">
        <is>
          <t>COST LADDER — $/H100-equivalent GPU-hour (at scale). Green = market price; yellow = assumption.</t>
        </is>
      </c>
      <c r="B1" s="2" t="n"/>
      <c r="C1" s="2" t="n"/>
      <c r="D1" s="2" t="n"/>
    </row>
    <row r="2">
      <c r="A2" s="8" t="inlineStr">
        <is>
          <t>Procurement mode</t>
        </is>
      </c>
      <c r="B2" s="8" t="inlineStr">
        <is>
          <t>$/hr low</t>
        </is>
      </c>
      <c r="C2" s="8" t="inlineStr">
        <is>
          <t>$/hr high</t>
        </is>
      </c>
      <c r="D2" s="8" t="inlineStr">
        <is>
          <t>What's baked into the price</t>
        </is>
      </c>
    </row>
    <row r="3">
      <c r="A3" t="inlineStr">
        <is>
          <t>Own custom silicon (TPU/Trainium)</t>
        </is>
      </c>
      <c r="B3" s="28" t="n">
        <v>0.9</v>
      </c>
      <c r="C3" s="28" t="n">
        <v>1.4</v>
      </c>
      <c r="D3" s="3" t="inlineStr">
        <is>
          <t>COGS + modest Broadcom/Marvell margin + power + DC. NO NVIDIA margin.</t>
        </is>
      </c>
    </row>
    <row r="4">
      <c r="A4" t="inlineStr">
        <is>
          <t>Buy + operate NVIDIA (scale)</t>
        </is>
      </c>
      <c r="B4" s="28" t="n">
        <v>1.5</v>
      </c>
      <c r="C4" s="28" t="n">
        <v>2</v>
      </c>
      <c r="D4" s="3" t="inlineStr">
        <is>
          <t>NVIDIA ~84% gross margin baked into capex + power + DC.</t>
        </is>
      </c>
    </row>
    <row r="5">
      <c r="A5" t="inlineStr">
        <is>
          <t>Rent NVIDIA - neocloud / committed</t>
        </is>
      </c>
      <c r="B5" s="28" t="n">
        <v>2</v>
      </c>
      <c r="C5" s="28" t="n">
        <v>3.5</v>
      </c>
      <c r="D5" s="3" t="inlineStr">
        <is>
          <t>+ cloud provider capex recovery &amp; margin.</t>
        </is>
      </c>
    </row>
    <row r="6">
      <c r="A6" t="inlineStr">
        <is>
          <t>Rent NVIDIA - hyperscaler on-demand</t>
        </is>
      </c>
      <c r="B6" s="28" t="n">
        <v>3</v>
      </c>
      <c r="C6" s="28" t="n">
        <v>7</v>
      </c>
      <c r="D6" s="3" t="inlineStr">
        <is>
          <t>+ utilization risk + flexibility premium (new B200 to ~$14).</t>
        </is>
      </c>
    </row>
    <row r="8">
      <c r="A8" s="1" t="inlineStr">
        <is>
          <t>OWNED-NVIDIA TCO CROSS-CHECK (from Inputs)</t>
        </is>
      </c>
      <c r="B8" s="2" t="n"/>
      <c r="C8" s="2" t="n"/>
      <c r="D8" s="2" t="n"/>
    </row>
    <row r="9">
      <c r="A9" t="inlineStr">
        <is>
          <t>Utilization</t>
        </is>
      </c>
      <c r="B9" s="16" t="n">
        <v>0.85</v>
      </c>
    </row>
    <row r="10">
      <c r="A10" t="inlineStr">
        <is>
          <t>Capex $/hr</t>
        </is>
      </c>
      <c r="B10" s="19">
        <f>Inputs!$B$7/(Inputs!$B$11*8760*B9)</f>
        <v/>
      </c>
      <c r="D10" s="3" t="inlineStr">
        <is>
          <t>fully-loaded $/GPU / (life x 8760h x utilization)</t>
        </is>
      </c>
    </row>
    <row r="11">
      <c r="A11" t="inlineStr">
        <is>
          <t>Power $/hr</t>
        </is>
      </c>
      <c r="B11" s="19">
        <f>Inputs!$B$8*Inputs!$B$9</f>
        <v/>
      </c>
      <c r="D11" s="3" t="inlineStr">
        <is>
          <t>wall kW x $/kWh</t>
        </is>
      </c>
    </row>
    <row r="12">
      <c r="A12" t="inlineStr">
        <is>
          <t>DC/staff adder $/hr</t>
        </is>
      </c>
      <c r="B12" s="29" t="n">
        <v>0.3</v>
      </c>
    </row>
    <row r="13">
      <c r="A13" s="8" t="inlineStr">
        <is>
          <t>Owned TCO $/hr</t>
        </is>
      </c>
      <c r="B13" s="30">
        <f>B10+B11+B12</f>
        <v/>
      </c>
      <c r="D13" s="3" t="inlineStr">
        <is>
          <t>cross-checks the 'Buy + operate NVIDIA' row</t>
        </is>
      </c>
    </row>
    <row r="15">
      <c r="A15" s="3" t="inlineStr">
        <is>
          <t>MARGIN STACK: own-silicon -&gt; buy-NVIDIA ~1.4-2x (NVIDIA margin). buy -&gt; rent ~2-3.5x (cloud margin). own -&gt; rent ~3-5x.</t>
        </is>
      </c>
    </row>
    <row r="16">
      <c r="A16" s="3" t="inlineStr">
        <is>
          <t>B200 builds ~$6,400, sells ~$40,000 -&gt; ~84% gross margin. Hyperscalers charge 3-6x neocloud rates for identical HW.</t>
        </is>
      </c>
    </row>
    <row r="17">
      <c r="A17" s="3" t="inlineStr">
        <is>
          <t>OWN-SILICON: TPU/Trainium/MTIA cost ~1/3 less per useful FLOP than NVIDIA. The model values compute at each company's ACTUAL cost (no gross-up).</t>
        </is>
      </c>
    </row>
    <row r="18">
      <c r="A18" s="3" t="inlineStr">
        <is>
          <t>SemiAnalysis: TPU 20-50% lower TCO per useful FLOP vs GB200/GB300; Trainium3 ~30% better vs GB300.</t>
        </is>
      </c>
    </row>
    <row r="19">
      <c r="A19" s="3" t="inlineStr">
        <is>
          <t>Sources: Spheron/IntuitionLabs (rental), Silicon Analysts (B200 cost/margin), SemiAnalysis (TPU/Trainium TCO).</t>
        </is>
      </c>
    </row>
  </sheetData>
  <mergeCells count="5">
    <mergeCell ref="A17:D17"/>
    <mergeCell ref="A18:D18"/>
    <mergeCell ref="A15:D15"/>
    <mergeCell ref="A19:D19"/>
    <mergeCell ref="A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52" customWidth="1" min="4" max="4"/>
  </cols>
  <sheetData>
    <row r="1">
      <c r="A1" s="1" t="inlineStr">
        <is>
          <t>EVIDENCE — cost split, accelerator share, own-silicon TCO, filing data</t>
        </is>
      </c>
      <c r="B1" s="2" t="n"/>
      <c r="C1" s="2" t="n"/>
      <c r="D1" s="2" t="n"/>
    </row>
    <row r="3">
      <c r="A3" s="8" t="inlineStr">
        <is>
          <t>GPU cost split (BOM)</t>
        </is>
      </c>
      <c r="B3" t="inlineStr">
        <is>
          <t>$ cost</t>
        </is>
      </c>
      <c r="C3" t="inlineStr">
        <is>
          <t>% COGS</t>
        </is>
      </c>
      <c r="D3" s="3" t="inlineStr">
        <is>
          <t>Method 1: teardown = true resource cost</t>
        </is>
      </c>
    </row>
    <row r="4">
      <c r="A4" t="inlineStr">
        <is>
          <t>H100: HBM3 memory (80GB)</t>
        </is>
      </c>
      <c r="B4" t="n">
        <v>1350</v>
      </c>
      <c r="C4" t="inlineStr">
        <is>
          <t>41%</t>
        </is>
      </c>
      <c r="D4" s="3" t="inlineStr">
        <is>
          <t>MEMORY</t>
        </is>
      </c>
    </row>
    <row r="5">
      <c r="A5" t="inlineStr">
        <is>
          <t>H100: CoWoS packaging</t>
        </is>
      </c>
      <c r="B5" t="n">
        <v>750</v>
      </c>
      <c r="C5" t="inlineStr">
        <is>
          <t>23%</t>
        </is>
      </c>
      <c r="D5" s="3" t="inlineStr">
        <is>
          <t>mostly memory (interposer hosts HBM)</t>
        </is>
      </c>
    </row>
    <row r="6">
      <c r="A6" t="inlineStr">
        <is>
          <t>H100: test &amp; assembly</t>
        </is>
      </c>
      <c r="B6" t="n">
        <v>920</v>
      </c>
      <c r="C6" t="inlineStr">
        <is>
          <t>28%</t>
        </is>
      </c>
      <c r="D6" s="3" t="inlineStr">
        <is>
          <t>shared</t>
        </is>
      </c>
    </row>
    <row r="7">
      <c r="A7" t="inlineStr">
        <is>
          <t>H100: logic die (compute)</t>
        </is>
      </c>
      <c r="B7" t="n">
        <v>300</v>
      </c>
      <c r="C7" t="inlineStr">
        <is>
          <t>9%</t>
        </is>
      </c>
      <c r="D7" s="3" t="inlineStr">
        <is>
          <t>COMPUTE -- cheapest part</t>
        </is>
      </c>
    </row>
    <row r="8">
      <c r="A8" t="inlineStr">
        <is>
          <t>H100 total COGS</t>
        </is>
      </c>
      <c r="B8" t="n">
        <v>3320</v>
      </c>
      <c r="C8" t="inlineStr">
        <is>
          <t>100%</t>
        </is>
      </c>
      <c r="D8" s="3" t="inlineStr">
        <is>
          <t>sells ~$28k -&gt; ~88% margin</t>
        </is>
      </c>
    </row>
    <row r="9">
      <c r="A9" t="inlineStr">
        <is>
          <t>B200 total COGS</t>
        </is>
      </c>
      <c r="B9" t="n">
        <v>6400</v>
      </c>
      <c r="C9" t="inlineStr">
        <is>
          <t>HBM 45%</t>
        </is>
      </c>
      <c r="D9" s="3" t="inlineStr">
        <is>
          <t>memory &gt; logic die; sells ~$40k -&gt; ~84% margin</t>
        </is>
      </c>
    </row>
    <row r="11">
      <c r="A11" s="8" t="inlineStr">
        <is>
          <t>Accelerator share of server BOM</t>
        </is>
      </c>
      <c r="B11" t="inlineStr"/>
      <c r="C11" t="inlineStr"/>
      <c r="D11" s="3" t="inlineStr">
        <is>
          <t>for accel-within-server share</t>
        </is>
      </c>
    </row>
    <row r="12">
      <c r="A12" t="inlineStr">
        <is>
          <t>8x H100 server (J.P. Morgan)</t>
        </is>
      </c>
      <c r="B12" t="inlineStr">
        <is>
          <t>83%</t>
        </is>
      </c>
      <c r="C12" t="inlineStr"/>
      <c r="D12" s="3" t="inlineStr">
        <is>
          <t>accelerator = $200k of $240k</t>
        </is>
      </c>
    </row>
    <row r="13">
      <c r="A13" t="inlineStr">
        <is>
          <t>8x A100 server (J.P. Morgan)</t>
        </is>
      </c>
      <c r="B13" t="inlineStr">
        <is>
          <t>71%</t>
        </is>
      </c>
      <c r="C13" t="inlineStr"/>
      <c r="D13" s="3" t="inlineStr">
        <is>
          <t>GB200 rack ~76-80% (SemiAnalysis)</t>
        </is>
      </c>
    </row>
    <row r="15">
      <c r="A15" s="8" t="inlineStr">
        <is>
          <t>Own-silicon vs NVIDIA (TCO)</t>
        </is>
      </c>
      <c r="B15" t="inlineStr"/>
      <c r="C15" t="inlineStr"/>
      <c r="D15" s="3" t="inlineStr">
        <is>
          <t>cheaper, but valued at cost in model</t>
        </is>
      </c>
    </row>
    <row r="16">
      <c r="A16" t="inlineStr">
        <is>
          <t>Google TPU v7 vs GB200/GB300</t>
        </is>
      </c>
      <c r="B16" t="inlineStr">
        <is>
          <t>20-50% lower</t>
        </is>
      </c>
      <c r="C16" t="inlineStr"/>
      <c r="D16" s="3" t="inlineStr">
        <is>
          <t>per useful FLOP (SemiAnalysis)</t>
        </is>
      </c>
    </row>
    <row r="17">
      <c r="A17" t="inlineStr">
        <is>
          <t>Amazon Trainium3 vs GB300</t>
        </is>
      </c>
      <c r="B17" t="inlineStr">
        <is>
          <t>~30% better</t>
        </is>
      </c>
      <c r="C17" t="inlineStr"/>
      <c r="D17" s="3" t="inlineStr">
        <is>
          <t>chips ~1/3 cheaper to build</t>
        </is>
      </c>
    </row>
    <row r="19">
      <c r="A19" s="8" t="inlineStr">
        <is>
          <t>Filing data (FY2025 actuals)</t>
        </is>
      </c>
      <c r="B19" t="inlineStr">
        <is>
          <t>total capex</t>
        </is>
      </c>
      <c r="C19" t="inlineStr">
        <is>
          <t>server life</t>
        </is>
      </c>
      <c r="D19" s="3" t="inlineStr">
        <is>
          <t>DISCLOSED top-lines</t>
        </is>
      </c>
    </row>
    <row r="20">
      <c r="A20" t="inlineStr">
        <is>
          <t>Microsoft (Jun'25, incl leases)</t>
        </is>
      </c>
      <c r="B20" t="inlineStr">
        <is>
          <t>~$88B</t>
        </is>
      </c>
      <c r="C20" t="inlineStr">
        <is>
          <t>2-6 yr</t>
        </is>
      </c>
      <c r="D20" s="3" t="inlineStr">
        <is>
          <t>'roughly half' short-lived (CFO)</t>
        </is>
      </c>
    </row>
    <row r="21">
      <c r="A21" t="inlineStr">
        <is>
          <t>Alphabet</t>
        </is>
      </c>
      <c r="B21" t="inlineStr">
        <is>
          <t>$91.4B</t>
        </is>
      </c>
      <c r="C21" t="inlineStr">
        <is>
          <t>6 yr</t>
        </is>
      </c>
      <c r="D21" s="3" t="inlineStr">
        <is>
          <t>60% servers / 40% DC (CFO)</t>
        </is>
      </c>
    </row>
    <row r="22">
      <c r="A22" t="inlineStr">
        <is>
          <t>Amazon (cash capex)</t>
        </is>
      </c>
      <c r="B22" t="inlineStr">
        <is>
          <t>$128.3B</t>
        </is>
      </c>
      <c r="C22" t="inlineStr">
        <is>
          <t>5 yr (cut)</t>
        </is>
      </c>
      <c r="D22" s="3" t="inlineStr">
        <is>
          <t>AWS 67.8% of net P&amp;E additions</t>
        </is>
      </c>
    </row>
    <row r="23">
      <c r="A23" t="inlineStr">
        <is>
          <t>Meta (incl finance leases)</t>
        </is>
      </c>
      <c r="B23" t="inlineStr">
        <is>
          <t>$72.2B</t>
        </is>
      </c>
      <c r="C23" t="inlineStr">
        <is>
          <t>5.5 yr</t>
        </is>
      </c>
      <c r="D23" s="3" t="inlineStr">
        <is>
          <t>servers 'largest portion' (CFO)</t>
        </is>
      </c>
    </row>
    <row r="24">
      <c r="A24" t="inlineStr">
        <is>
          <t>FY26 capex guidance</t>
        </is>
      </c>
      <c r="B24" t="inlineStr"/>
      <c r="C24" t="inlineStr"/>
      <c r="D24" s="3" t="inlineStr">
        <is>
          <t>MSFT ~$190B, Alphabet $180-190B, Amazon ~$200B, Meta $125-145B, Oracle ~$50B; SpaceX ~$18B (est)</t>
        </is>
      </c>
    </row>
    <row r="26">
      <c r="A26" s="8" t="inlineStr">
        <is>
          <t>Cost-weighted reduction vs memory share</t>
        </is>
      </c>
      <c r="B26" t="inlineStr">
        <is>
          <t>reduction (x)</t>
        </is>
      </c>
      <c r="C26" t="inlineStr"/>
      <c r="D26" s="3" t="inlineStr">
        <is>
          <t>live: =1/(w/100+(1-w)/10)</t>
        </is>
      </c>
    </row>
    <row r="27">
      <c r="A27" t="inlineStr">
        <is>
          <t>memory share = 45%</t>
        </is>
      </c>
      <c r="B27" s="16" t="n">
        <v>0.45</v>
      </c>
      <c r="C27" s="31">
        <f>1/(B27/Inputs!$B$2+(1-B27)/Inputs!$B$3)</f>
        <v/>
      </c>
      <c r="D27" t="inlineStr">
        <is>
          <t>compute term dominates -&gt; stays far below 100x</t>
        </is>
      </c>
    </row>
    <row r="28">
      <c r="A28" t="inlineStr">
        <is>
          <t>memory share = 50%</t>
        </is>
      </c>
      <c r="B28" s="16" t="n">
        <v>0.5</v>
      </c>
      <c r="C28" s="31">
        <f>1/(B28/Inputs!$B$2+(1-B28)/Inputs!$B$3)</f>
        <v/>
      </c>
      <c r="D28" t="inlineStr">
        <is>
          <t>compute term dominates -&gt; stays far below 100x</t>
        </is>
      </c>
    </row>
    <row r="29">
      <c r="A29" t="inlineStr">
        <is>
          <t>memory share = 60%</t>
        </is>
      </c>
      <c r="B29" s="16" t="n">
        <v>0.6</v>
      </c>
      <c r="C29" s="31">
        <f>1/(B29/Inputs!$B$2+(1-B29)/Inputs!$B$3)</f>
        <v/>
      </c>
      <c r="D29" t="inlineStr">
        <is>
          <t>compute term dominates -&gt; stays far below 100x</t>
        </is>
      </c>
    </row>
    <row r="30">
      <c r="A30" t="inlineStr">
        <is>
          <t>memory share = 70%</t>
        </is>
      </c>
      <c r="B30" s="16" t="n">
        <v>0.7</v>
      </c>
      <c r="C30" s="31">
        <f>1/(B30/Inputs!$B$2+(1-B30)/Inputs!$B$3)</f>
        <v/>
      </c>
      <c r="D30" t="inlineStr">
        <is>
          <t>compute term dominates -&gt; stays far below 100x</t>
        </is>
      </c>
    </row>
    <row r="31">
      <c r="A31" t="inlineStr">
        <is>
          <t>memory share = 82%</t>
        </is>
      </c>
      <c r="B31" s="16" t="n">
        <v>0.82</v>
      </c>
      <c r="C31" s="31">
        <f>1/(B31/Inputs!$B$2+(1-B31)/Inputs!$B$3)</f>
        <v/>
      </c>
      <c r="D31" t="inlineStr">
        <is>
          <t>compute term dominates -&gt; stays far below 100x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METHODOLOGY &amp; SOURCES</t>
        </is>
      </c>
    </row>
    <row r="2">
      <c r="A2" s="3" t="inlineStr"/>
    </row>
    <row r="3">
      <c r="A3" s="3" t="inlineStr">
        <is>
          <t>Engine: GPU cost ~60% memory / ~40% compute. Memory x100 + FLOPs x10 -&gt; residual 0.6%+4% -&gt; ~22x cost-weighted reduction (Inputs B20).</t>
        </is>
      </c>
    </row>
    <row r="4">
      <c r="A4" s="3" t="inlineStr">
        <is>
          <t xml:space="preserve">  Floored by the least-reduced part (compute, 10x). Neither alone helps (mem-only ~2.5x, FLOP-only ~1.6x).</t>
        </is>
      </c>
    </row>
    <row r="5">
      <c r="A5" s="3" t="inlineStr"/>
    </row>
    <row r="6">
      <c r="A6" s="3" t="inlineStr">
        <is>
          <t>Per company (own tab): total capex (DISCLOSED) x infra share x server share x accelerator share = accelerator capex; then fleet -&gt; opex -&gt; efficient -&gt; value. FY25 + FY26.</t>
        </is>
      </c>
    </row>
    <row r="7">
      <c r="A7" s="3" t="inlineStr">
        <is>
          <t xml:space="preserve">  infra share strips non-AI (Amazon AWS 68%); server share CFO-disclosed (MSFT ~50%, Google 60%); accel-within-server ~67-80% from BOM.</t>
        </is>
      </c>
    </row>
    <row r="8">
      <c r="A8" s="3" t="inlineStr">
        <is>
          <t xml:space="preserve">  Accel % of total varies: Amazon ~30% (legacy fleet + non-AI), MSFT ~37%, Google ~40%, Meta ~48%, SpaceX ~79% (greenfield).</t>
        </is>
      </c>
    </row>
    <row r="9">
      <c r="A9" s="3" t="inlineStr">
        <is>
          <t>Totals (front page): rolls up the company tabs live; no double-count (they don't pay each other for the bulk). GLOBAL row grosses the named total up to a worldwide estimate (Inputs 'Named share of global AI capex').</t>
        </is>
      </c>
    </row>
    <row r="10">
      <c r="A10" s="3" t="inlineStr">
        <is>
          <t>Value: spend cut/yr = accel x (1 - 1/reduction) ~95% + opex savings; capitalized = annual / discount rate. Compute valued at ACTUAL cost.</t>
        </is>
      </c>
    </row>
    <row r="11">
      <c r="A11" s="3" t="inlineStr">
        <is>
          <t>Energy/opex reduction: DERIVED = cost-weighted reduction (energy splits memory/compute like cost). Inputs B5 defaults to =B20; overtype that cell to override.</t>
        </is>
      </c>
    </row>
    <row r="12">
      <c r="A12" s="3" t="inlineStr">
        <is>
          <t>HOW EACH INPUT IS DERIVED: Inputs sheet column D notes every global assumption; Evidence sheet has the BOM cost split (mem share), accelerator-share teardowns, own-silicon TCO and filing top-lines; per-company capex/shares/revenue carry a basis + clickable Sources on each company tab.</t>
        </is>
      </c>
    </row>
    <row r="13">
      <c r="A13" s="3" t="inlineStr">
        <is>
          <t>Net AI economics (Totals + company tabs): Net AI = AI revenue - AI capex (full AI-infra) - AI opex (cash basis). With our arch: Net AI + spend cut.</t>
        </is>
      </c>
    </row>
    <row r="14">
      <c r="A14" s="3" t="inlineStr">
        <is>
          <t xml:space="preserve">  Shows they all LOSE money on AI today. TOGGLE 'Datacenter scaling factor' (Inputs B13): 0 = accelerator-only (conservative); 1 = whole datacenter scales -&gt; net AI flips positive (~0.7 = breakeven).</t>
        </is>
      </c>
    </row>
    <row r="15">
      <c r="A15" s="3" t="inlineStr"/>
    </row>
    <row r="16">
      <c r="A16" s="4" t="inlineStr">
        <is>
          <t>KEY RESULTS (defaults)</t>
        </is>
      </c>
    </row>
    <row r="17">
      <c r="A17" s="3" t="inlineStr">
        <is>
          <t>- Cost-weighted reduction ~22x (NOT 100x; range 17-38x over memory share 45-82%).</t>
        </is>
      </c>
    </row>
    <row r="18">
      <c r="A18" s="3" t="inlineStr">
        <is>
          <t>- Net AI FY25: 6 named firms spend ~$375B (capex+opex) vs ~$79B AI revenue = ~ -$295B/yr cash burn.</t>
        </is>
      </c>
    </row>
    <row r="19">
      <c r="A19" s="3" t="inlineStr">
        <is>
          <t>- With our architecture: spend cut ~$159B -&gt; burn shrinks to ~ -$136B/yr (~42% of AI spend cut).</t>
        </is>
      </c>
    </row>
    <row r="20">
      <c r="A20" s="3" t="inlineStr">
        <is>
          <t>- Spend-cut value (named floor): FY25 ~$159B/yr (~$1.6T capitalized); FY26 r/r ~$328B/yr (~$3.3T).</t>
        </is>
      </c>
    </row>
    <row r="21">
      <c r="A21" s="3" t="inlineStr">
        <is>
          <t>- GLOBAL estimate (named ~80% of world AI capex): FY25 ~$2.0T, FY26 ~$4.1T capitalized. Clearly an estimate.</t>
        </is>
      </c>
    </row>
    <row r="22">
      <c r="A22" s="3" t="inlineStr"/>
    </row>
    <row r="23">
      <c r="A23" s="4" t="inlineStr">
        <is>
          <t>CAVEATS</t>
        </is>
      </c>
    </row>
    <row r="24">
      <c r="A24" s="3" t="inlineStr">
        <is>
          <t>- AI REVENUE is the softest input: MSFT $37B &amp; Amazon $15B run-rates are DISCLOSED; Google/Meta/Oracle/SpaceX are ESTIMATES. Meta's real AI payoff is indirect ad-uplift (~$20B), not direct revenue -- so its 'loss' here overstates.</t>
        </is>
      </c>
    </row>
    <row r="25">
      <c r="A25" s="3" t="inlineStr">
        <is>
          <t>- Net AI is CASH basis (capex not depreciated). On an accounting (depreciation) basis the loss is smaller; on a depreciation basis it is closer to a true P&amp;L.</t>
        </is>
      </c>
    </row>
    <row r="26">
      <c r="A26" s="3" t="inlineStr">
        <is>
          <t>- No company reports 'accelerator capex'. Totals DISCLOSED; server/accel split ESTIMATED (server CFO-disclosed; accel-within from BOM). +/-15-20%.</t>
        </is>
      </c>
    </row>
    <row r="27">
      <c r="A27" s="3" t="inlineStr">
        <is>
          <t>- FY26 is a full live chain (FY26 total-capex guidance x FY26 shares). SpaceX FY26 ~$18B is an estimate.</t>
        </is>
      </c>
    </row>
    <row r="28">
      <c r="A28" s="3" t="inlineStr">
        <is>
          <t>- Hyperscaler market caps (company tab row 7) are approximate placeholders -- edit to current.</t>
        </is>
      </c>
    </row>
    <row r="29">
      <c r="A29" s="3" t="inlineStr">
        <is>
          <t>- Own-silicon (TPU/Trainium/MTIA) is cheaper per FLOP, but compute is valued at ACTUAL cost; CostLadder shows the buy/rent premium.</t>
        </is>
      </c>
    </row>
    <row r="30">
      <c r="A30" s="3" t="inlineStr">
        <is>
          <t>- 1000x (=100x*10x) is NOT physical: cost is additive (Amdahl), not multiplicative.</t>
        </is>
      </c>
    </row>
    <row r="31">
      <c r="A31" s="3" t="inlineStr">
        <is>
          <t>- JEVONS: savings reinvested into more AI, not budget cuts. Capitalization is a simple perpetuity.</t>
        </is>
      </c>
    </row>
    <row r="32">
      <c r="A32" s="3" t="inlineStr"/>
    </row>
    <row r="33">
      <c r="A33" s="4" t="inlineStr">
        <is>
          <t>SOURCES</t>
        </is>
      </c>
    </row>
    <row r="34">
      <c r="A34" s="3" t="inlineStr">
        <is>
          <t>SpaceX S-1 / IPO: https://www.hl.co.uk/news/inside-spacexs-ipo-filing-revenue-starlink-ai-and-key-financials</t>
        </is>
      </c>
    </row>
    <row r="35">
      <c r="A35" s="3" t="inlineStr">
        <is>
          <t>Microsoft FY25 capex (Q3 FY26 call): https://www.fool.com/earnings/call-transcripts/2026/04/29/microsoft-msft-q3-2026-earnings-transcript/</t>
        </is>
      </c>
    </row>
    <row r="36">
      <c r="A36" s="3" t="inlineStr">
        <is>
          <t>Alphabet FY25 $91.4B, 60/40 split (Q4'25 call): https://www.fool.com/earnings/call-transcripts/2026/02/04/alphabet-googl-q4-2025-earnings-call-transcript/</t>
        </is>
      </c>
    </row>
    <row r="37">
      <c r="A37" s="3" t="inlineStr">
        <is>
          <t>Amazon FY25 $128.3B + server life 6-&gt;5yr (10-K): https://www.sec.gov/Archives/edgar/data/1018724/000101872426000004/amzn-20251231.htm</t>
        </is>
      </c>
    </row>
    <row r="38">
      <c r="A38" s="3" t="inlineStr">
        <is>
          <t>Meta FY25 $72.2B (Q4/FY25 release): https://investor.atmeta.com/investor-news/press-release-details/2026/Meta-Reports-Fourth-Quarter-and-Full-Year-2025-Results/default.aspx</t>
        </is>
      </c>
    </row>
    <row r="39">
      <c r="A39" s="3" t="inlineStr">
        <is>
          <t>H100/B200 BOM + margin (Silicon Analysts): https://siliconanalysts.com/analysis/nvidia-b200-blackwell-cost-breakdown</t>
        </is>
      </c>
    </row>
    <row r="40">
      <c r="A40" s="3" t="inlineStr">
        <is>
          <t>TPU/Trainium TCO (SemiAnalysis): https://newsletter.semianalysis.com/p/tpuv7-google-takes-a-swing-at-the</t>
        </is>
      </c>
    </row>
    <row r="41">
      <c r="A41" s="3" t="inlineStr">
        <is>
          <t>GPU rental prices 2026 (Spheron): https://www.spheron.network/blog/gpu-cloud-pricing-comparison-2026/</t>
        </is>
      </c>
    </row>
    <row r="42">
      <c r="A42" s="3" t="inlineStr">
        <is>
          <t>Microsoft $37B AI run-rate (Q3 FY26): https://news.alphastreet.com/microsoft-msft-q3-fy2026-azure-hits-40-growth-as-ai-business-reaches-37-billion-run-rate/</t>
        </is>
      </c>
    </row>
    <row r="43">
      <c r="A43" s="3" t="inlineStr">
        <is>
          <t>Amazon &gt;$15B AWS AI run-rate (Q1 FY26): https://www.bnnbloomberg.ca/business/artificial-intelligence/2026/04/09/amazon-cloud-units-ai-revenue-run-rate-exceeds-us15-billion-in-first-quarter-ceo-says/</t>
        </is>
      </c>
    </row>
    <row r="44">
      <c r="A44" s="3" t="inlineStr">
        <is>
          <t>Hyperscalers losing money on AI (capex vs revenue): https://fortune.com/2026/04/15/data-centers-hyperscalers-spending-billions-on-hardware-thats-worthless-in-3-years/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2026-06-18T19:24:30Z</dcterms:created>
  <dcterms:modified xsi:type="dcterms:W3CDTF">2026-06-18T19:24:30Z</dcterms:modified>
</cp:coreProperties>
</file>