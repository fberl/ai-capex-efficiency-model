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tals" sheetId="1" state="visible" r:id="rId1"/>
    <sheet xmlns:r="http://schemas.openxmlformats.org/officeDocument/2006/relationships" name="Microsoft" sheetId="2" state="visible" r:id="rId2"/>
    <sheet xmlns:r="http://schemas.openxmlformats.org/officeDocument/2006/relationships" name="Alphabet" sheetId="3" state="visible" r:id="rId3"/>
    <sheet xmlns:r="http://schemas.openxmlformats.org/officeDocument/2006/relationships" name="Amazon" sheetId="4" state="visible" r:id="rId4"/>
    <sheet xmlns:r="http://schemas.openxmlformats.org/officeDocument/2006/relationships" name="Meta" sheetId="5" state="visible" r:id="rId5"/>
    <sheet xmlns:r="http://schemas.openxmlformats.org/officeDocument/2006/relationships" name="Oracle" sheetId="6" state="visible" r:id="rId6"/>
    <sheet xmlns:r="http://schemas.openxmlformats.org/officeDocument/2006/relationships" name="SpaceX" sheetId="7" state="visible" r:id="rId7"/>
    <sheet xmlns:r="http://schemas.openxmlformats.org/officeDocument/2006/relationships" name="Inputs" sheetId="8" state="visible" r:id="rId8"/>
    <sheet xmlns:r="http://schemas.openxmlformats.org/officeDocument/2006/relationships" name="Sensitivity" sheetId="9" state="visible" r:id="rId9"/>
    <sheet xmlns:r="http://schemas.openxmlformats.org/officeDocument/2006/relationships" name="CostLadder" sheetId="10" state="visible" r:id="rId10"/>
    <sheet xmlns:r="http://schemas.openxmlformats.org/officeDocument/2006/relationships" name="ServingTraining" sheetId="11" state="visible" r:id="rId11"/>
    <sheet xmlns:r="http://schemas.openxmlformats.org/officeDocument/2006/relationships" name="Evidence" sheetId="12" state="visible" r:id="rId12"/>
    <sheet xmlns:r="http://schemas.openxmlformats.org/officeDocument/2006/relationships" name="Methodology" sheetId="13" state="visible" r:id="rId13"/>
  </sheets>
  <definedNames/>
  <calcPr calcId="124519" fullCalcOnLoad="1"/>
</workbook>
</file>

<file path=xl/styles.xml><?xml version="1.0" encoding="utf-8"?>
<styleSheet xmlns="http://schemas.openxmlformats.org/spreadsheetml/2006/main">
  <numFmts count="10">
    <numFmt numFmtId="164" formatCode="0.0"/>
    <numFmt numFmtId="165" formatCode="0.0%"/>
    <numFmt numFmtId="166" formatCode="#,##0.0"/>
    <numFmt numFmtId="167" formatCode="0.000000"/>
    <numFmt numFmtId="168" formatCode="0.000"/>
    <numFmt numFmtId="169" formatCode="$0.0000"/>
    <numFmt numFmtId="170" formatCode="$0.00"/>
    <numFmt numFmtId="171" formatCode="0.0×"/>
    <numFmt numFmtId="172" formatCode="0.00×"/>
    <numFmt numFmtId="173" formatCode="0.000×"/>
  </numFmts>
  <fonts count="4">
    <font>
      <name val="Calibri"/>
      <family val="2"/>
      <color theme="1"/>
      <sz val="11"/>
      <scheme val="minor"/>
    </font>
    <font>
      <b val="1"/>
      <color rgb="00FFFFFF"/>
    </font>
    <font>
      <b val="1"/>
    </font>
    <font>
      <color rgb="000563C1"/>
      <u val="single"/>
    </font>
  </fonts>
  <fills count="7">
    <fill>
      <patternFill/>
    </fill>
    <fill>
      <patternFill patternType="gray125"/>
    </fill>
    <fill>
      <patternFill patternType="solid">
        <fgColor rgb="001F4E78"/>
      </patternFill>
    </fill>
    <fill>
      <patternFill patternType="solid">
        <fgColor rgb="00FFF2CC"/>
      </patternFill>
    </fill>
    <fill>
      <patternFill patternType="solid">
        <fgColor rgb="00E2EFDA"/>
      </patternFill>
    </fill>
    <fill>
      <patternFill patternType="solid">
        <fgColor rgb="00DDEBF7"/>
      </patternFill>
    </fill>
    <fill>
      <patternFill patternType="solid">
        <fgColor rgb="00BDD7EE"/>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54">
    <xf numFmtId="0" fontId="0" fillId="0" borderId="0" pivotButton="0" quotePrefix="0" xfId="0"/>
    <xf numFmtId="0" fontId="1" fillId="2" borderId="0" pivotButton="0" quotePrefix="0" xfId="0"/>
    <xf numFmtId="0" fontId="0"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166" fontId="0" fillId="5" borderId="1" pivotButton="0" quotePrefix="0" xfId="0"/>
    <xf numFmtId="166" fontId="2" fillId="5" borderId="1" pivotButton="0" quotePrefix="0" xfId="0"/>
    <xf numFmtId="9" fontId="0" fillId="5" borderId="1" pivotButton="0" quotePrefix="0" xfId="0"/>
    <xf numFmtId="0" fontId="2" fillId="0" borderId="0" pivotButton="0" quotePrefix="0" xfId="0"/>
    <xf numFmtId="3" fontId="2" fillId="6" borderId="1" pivotButton="0" quotePrefix="0" xfId="0"/>
    <xf numFmtId="9" fontId="2" fillId="6" borderId="1" pivotButton="0" quotePrefix="0" xfId="0"/>
    <xf numFmtId="3" fontId="0" fillId="6" borderId="1" pivotButton="0" quotePrefix="0" xfId="0"/>
    <xf numFmtId="164" fontId="2" fillId="5" borderId="1" pivotButton="0" quotePrefix="0" xfId="0"/>
    <xf numFmtId="3" fontId="2" fillId="5" borderId="1" pivotButton="0" quotePrefix="0" xfId="0"/>
    <xf numFmtId="166" fontId="0" fillId="4" borderId="1" pivotButton="0" quotePrefix="0" xfId="0"/>
    <xf numFmtId="166" fontId="0" fillId="3" borderId="1" pivotButton="0" quotePrefix="0" xfId="0"/>
    <xf numFmtId="9" fontId="0" fillId="3" borderId="1" pivotButton="0" quotePrefix="0" xfId="0"/>
    <xf numFmtId="3" fontId="0" fillId="4" borderId="1" pivotButton="0" quotePrefix="0" xfId="0"/>
    <xf numFmtId="3" fontId="0" fillId="5" borderId="1" pivotButton="0" quotePrefix="0" xfId="0"/>
    <xf numFmtId="2" fontId="0" fillId="5" borderId="1" pivotButton="0" quotePrefix="0" xfId="0"/>
    <xf numFmtId="4" fontId="0" fillId="5" borderId="1" pivotButton="0" quotePrefix="0" xfId="0"/>
    <xf numFmtId="165" fontId="0" fillId="5" borderId="1" pivotButton="0" quotePrefix="0" xfId="0"/>
    <xf numFmtId="0" fontId="3" fillId="0" borderId="0" pivotButton="0" quotePrefix="0" xfId="0"/>
    <xf numFmtId="164" fontId="0" fillId="3" borderId="1" pivotButton="0" quotePrefix="0" xfId="0"/>
    <xf numFmtId="165" fontId="0" fillId="3" borderId="1" pivotButton="0" quotePrefix="0" xfId="0"/>
    <xf numFmtId="3" fontId="0" fillId="3" borderId="1" pivotButton="0" quotePrefix="0" xfId="0"/>
    <xf numFmtId="164" fontId="0" fillId="4" borderId="1" pivotButton="0" quotePrefix="0" xfId="0"/>
    <xf numFmtId="10" fontId="0" fillId="5" borderId="1" pivotButton="0" quotePrefix="0" xfId="0"/>
    <xf numFmtId="2" fontId="0" fillId="3" borderId="1" pivotButton="0" quotePrefix="0" xfId="0"/>
    <xf numFmtId="2" fontId="2" fillId="5" borderId="1" pivotButton="0" quotePrefix="0" xfId="0"/>
    <xf numFmtId="2" fontId="0" fillId="4" borderId="1" pivotButton="0" quotePrefix="0" xfId="0"/>
    <xf numFmtId="167" fontId="0" fillId="4" borderId="1" pivotButton="0" quotePrefix="0" xfId="0"/>
    <xf numFmtId="1" fontId="0" fillId="3" borderId="1" pivotButton="0" quotePrefix="0" xfId="0"/>
    <xf numFmtId="168" fontId="0" fillId="4" borderId="1" pivotButton="0" quotePrefix="0" xfId="0"/>
    <xf numFmtId="168" fontId="0" fillId="5" borderId="1" pivotButton="0" quotePrefix="0" xfId="0"/>
    <xf numFmtId="1" fontId="0" fillId="5" borderId="1" pivotButton="0" quotePrefix="0" xfId="0"/>
    <xf numFmtId="167" fontId="0" fillId="5" borderId="1" pivotButton="0" quotePrefix="0" xfId="0"/>
    <xf numFmtId="164" fontId="0" fillId="5" borderId="1" pivotButton="0" quotePrefix="0" xfId="0"/>
    <xf numFmtId="0" fontId="2" fillId="6" borderId="1" pivotButton="0" quotePrefix="0" xfId="0"/>
    <xf numFmtId="3" fontId="0" fillId="0" borderId="1" pivotButton="0" quotePrefix="0" xfId="0"/>
    <xf numFmtId="169" fontId="0" fillId="4" borderId="1" pivotButton="0" quotePrefix="0" xfId="0"/>
    <xf numFmtId="170" fontId="0" fillId="5" borderId="1" pivotButton="0" quotePrefix="0" xfId="0"/>
    <xf numFmtId="171" fontId="0" fillId="5" borderId="1" pivotButton="0" quotePrefix="0" xfId="0"/>
    <xf numFmtId="0" fontId="0" fillId="0" borderId="1" applyAlignment="1" pivotButton="0" quotePrefix="0" xfId="0">
      <alignment vertical="top" wrapText="1"/>
    </xf>
    <xf numFmtId="169" fontId="0" fillId="3" borderId="1" pivotButton="0" quotePrefix="0" xfId="0"/>
    <xf numFmtId="0" fontId="0" fillId="0"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0" fillId="3" borderId="1" applyAlignment="1" pivotButton="0" quotePrefix="0" xfId="0">
      <alignment vertical="top" wrapText="1"/>
    </xf>
    <xf numFmtId="172" fontId="0" fillId="5" borderId="1" pivotButton="0" quotePrefix="0" xfId="0"/>
    <xf numFmtId="173" fontId="0" fillId="5" borderId="1" pivotButton="0" quotePrefix="0" xfId="0"/>
    <xf numFmtId="0" fontId="0" fillId="3" borderId="1" pivotButton="0" quotePrefix="0" xfId="0"/>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sec.gov/Archives/edgar/data/789019/000095017025100235/msft-20250630.htm" TargetMode="External" Id="rId1"/><Relationship Type="http://schemas.openxmlformats.org/officeDocument/2006/relationships/hyperlink" Target="https://www.fool.com/earnings/call-transcripts/2026/04/29/microsoft-msft-q3-2026-earnings-transcript/" TargetMode="External" Id="rId2"/><Relationship Type="http://schemas.openxmlformats.org/officeDocument/2006/relationships/hyperlink" Target="https://news.alphastreet.com/microsoft-msft-q3-fy2026-azure-hits-40-growth-as-ai-business-reaches-37-billion-run-rate/" TargetMode="External" Id="rId3"/><Relationship Type="http://schemas.openxmlformats.org/officeDocument/2006/relationships/hyperlink" Target="https://techcrunch.com/2024/12/18/microsoft-bought-nearly-500000-nvidia-hopper-chips-this-year/" TargetMode="External" Id="rId4"/></Relationships>
</file>

<file path=xl/worksheets/_rels/sheet3.xml.rels><Relationships xmlns="http://schemas.openxmlformats.org/package/2006/relationships"><Relationship Type="http://schemas.openxmlformats.org/officeDocument/2006/relationships/hyperlink" Target="https://www.fool.com/earnings/call-transcripts/2026/02/04/alphabet-googl-q4-2025-earnings-call-transcript/" TargetMode="External" Id="rId1"/><Relationship Type="http://schemas.openxmlformats.org/officeDocument/2006/relationships/hyperlink" Target="https://www.cnbc.com/2026/04/29/alphabet-googl-q1-2026-earnings.html" TargetMode="External" Id="rId2"/><Relationship Type="http://schemas.openxmlformats.org/officeDocument/2006/relationships/hyperlink" Target="https://newsletter.semianalysis.com/p/tpuv7-google-takes-a-swing-at-the" TargetMode="External" Id="rId3"/></Relationships>
</file>

<file path=xl/worksheets/_rels/sheet4.xml.rels><Relationships xmlns="http://schemas.openxmlformats.org/package/2006/relationships"><Relationship Type="http://schemas.openxmlformats.org/officeDocument/2006/relationships/hyperlink" Target="https://www.sec.gov/Archives/edgar/data/1018724/000101872426000004/amzn-20251231.htm" TargetMode="External" Id="rId1"/><Relationship Type="http://schemas.openxmlformats.org/officeDocument/2006/relationships/hyperlink" Target="https://www.fool.com/earnings/call-transcripts/2026/02/05/amazon-amzn-q4-2025-earnings-call-transcript/" TargetMode="External" Id="rId2"/><Relationship Type="http://schemas.openxmlformats.org/officeDocument/2006/relationships/hyperlink" Target="https://www.bnnbloomberg.ca/business/artificial-intelligence/2026/04/09/amazon-cloud-units-ai-revenue-run-rate-exceeds-us15-billion-in-first-quarter-ceo-says/" TargetMode="External" Id="rId3"/></Relationships>
</file>

<file path=xl/worksheets/_rels/sheet5.xml.rels><Relationships xmlns="http://schemas.openxmlformats.org/package/2006/relationships"><Relationship Type="http://schemas.openxmlformats.org/officeDocument/2006/relationships/hyperlink" Target="https://investor.atmeta.com/investor-news/press-release-details/2026/Meta-Reports-Fourth-Quarter-and-Full-Year-2025-Results/default.aspx" TargetMode="External" Id="rId1"/><Relationship Type="http://schemas.openxmlformats.org/officeDocument/2006/relationships/hyperlink" Target="https://www.fool.com/earnings/call-transcripts/2026/04/29/meta-meta-q1-2026-earnings-call-transcript/" TargetMode="External" Id="rId2"/><Relationship Type="http://schemas.openxmlformats.org/officeDocument/2006/relationships/hyperlink" Target="https://techcrunch.com/2025/01/24/mark-zuckerberg-says-meta-will-have-1-3m-gpus-for-ai-by-year-end/" TargetMode="External" Id="rId3"/><Relationship Type="http://schemas.openxmlformats.org/officeDocument/2006/relationships/hyperlink" Target="https://www.thestack.technology/meta-extends-server-life-again-saving-it-2-9-billion/" TargetMode="External" Id="rId4"/><Relationship Type="http://schemas.openxmlformats.org/officeDocument/2006/relationships/hyperlink" Target="https://finance.yahoo.com/news/big-techs-spending-drove-nvidias-rise-154027146.html" TargetMode="External" Id="rId5"/></Relationships>
</file>

<file path=xl/worksheets/_rels/sheet6.xml.rels><Relationships xmlns="http://schemas.openxmlformats.org/package/2006/relationships"><Relationship Type="http://schemas.openxmlformats.org/officeDocument/2006/relationships/hyperlink" Target="https://www.ciodive.com/news/oracle-capex-spike-cloud-ai-data-center/807721/" TargetMode="External" Id="rId1"/><Relationship Type="http://schemas.openxmlformats.org/officeDocument/2006/relationships/hyperlink" Target="https://futurumgroup.com/insights/oracle-delivers-q4-fy-2025-results-with-27-cloud-growth-rpo-hits-138-billion/" TargetMode="External" Id="rId2"/><Relationship Type="http://schemas.openxmlformats.org/officeDocument/2006/relationships/hyperlink" Target="https://futurumgroup.com/insights/oracle-q2-fy-2026-cloud-grows-capex-rises-for-ai-buildout/" TargetMode="External" Id="rId3"/></Relationships>
</file>

<file path=xl/worksheets/_rels/sheet7.xml.rels><Relationships xmlns="http://schemas.openxmlformats.org/package/2006/relationships"><Relationship Type="http://schemas.openxmlformats.org/officeDocument/2006/relationships/hyperlink" Target="https://www.sec.gov/Archives/edgar/data/1181412/000162828026036936/spaceexplorationtechnologi.htm" TargetMode="External" Id="rId1"/><Relationship Type="http://schemas.openxmlformats.org/officeDocument/2006/relationships/hyperlink" Target="https://www.hl.co.uk/news/inside-spacexs-ipo-filing-revenue-starlink-ai-and-key-financials" TargetMode="External" Id="rId2"/><Relationship Type="http://schemas.openxmlformats.org/officeDocument/2006/relationships/hyperlink" Target="https://www.investing.com/analysis/spacex-is-quietly-becoming-an-ai-compute-and-orbital-infrastructure-company-200681776" TargetMode="External" Id="rId3"/><Relationship Type="http://schemas.openxmlformats.org/officeDocument/2006/relationships/hyperlink" Target="https://www.datacenterdynamics.com/en/news/spacex-ipo-musks-firm-set-to-launch-first-orbital-data-center-ai1-satellites-in-2027-will-put-compute-on-starlink-craft/" TargetMode="External" Id="rId4"/></Relationships>
</file>

<file path=xl/worksheets/sheet1.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cols>
    <col width="17" customWidth="1" min="1" max="1"/>
    <col width="12" customWidth="1" min="2" max="2"/>
    <col width="12" customWidth="1" min="3" max="3"/>
    <col width="11" customWidth="1" min="4" max="4"/>
    <col width="12" customWidth="1" min="5" max="5"/>
    <col width="13" customWidth="1" min="6" max="6"/>
    <col width="13" customWidth="1" min="7" max="7"/>
    <col width="9" customWidth="1" min="8" max="8"/>
  </cols>
  <sheetData>
    <row r="1">
      <c r="A1" s="1" t="inlineStr">
        <is>
          <t>6-COMPANY AI ECONOMICS — current AI cash burn &amp; the effect of our architecture</t>
        </is>
      </c>
      <c r="B1" s="2" t="n"/>
      <c r="C1" s="2" t="n"/>
      <c r="D1" s="2" t="n"/>
      <c r="E1" s="2" t="n"/>
      <c r="F1" s="2" t="n"/>
      <c r="G1" s="2" t="n"/>
      <c r="H1" s="2" t="n"/>
    </row>
    <row r="2">
      <c r="A2" s="3" t="inlineStr">
        <is>
          <t>They all spend far more on AI (capex + opex) than they earn from it -- they are losing money on AI today. Our architecture cuts the accelerator spend ~95%, shrinking the burn. The named firms are a floor; a GLOBAL estimate grosses up for the rest. Yellow assumption cells (also sliders in the app) and green disclosed-data cells live on company tabs.</t>
        </is>
      </c>
    </row>
    <row r="4">
      <c r="A4" s="1" t="inlineStr">
        <is>
          <t>NET AI ECONOMICS — FY2025 (cash basis: AI revenue - AI capex - AI opex)</t>
        </is>
      </c>
      <c r="B4" s="2" t="n"/>
      <c r="C4" s="2" t="n"/>
      <c r="D4" s="2" t="n"/>
      <c r="E4" s="2" t="n"/>
      <c r="F4" s="2" t="n"/>
      <c r="G4" s="2" t="n"/>
      <c r="H4" s="2" t="n"/>
    </row>
    <row r="5">
      <c r="A5" s="4" t="inlineStr">
        <is>
          <t>Company</t>
        </is>
      </c>
      <c r="B5" s="4" t="inlineStr">
        <is>
          <t>AI revenue ($B)</t>
        </is>
      </c>
      <c r="C5" s="4" t="inlineStr">
        <is>
          <t>AI capex ($B)</t>
        </is>
      </c>
      <c r="D5" s="4" t="inlineStr">
        <is>
          <t>AI opex ($B)</t>
        </is>
      </c>
      <c r="E5" s="4" t="inlineStr">
        <is>
          <t>Net AI NOW ($B)</t>
        </is>
      </c>
      <c r="F5" s="4" t="inlineStr">
        <is>
          <t>Spend cut, our arch ($B)</t>
        </is>
      </c>
      <c r="G5" s="4" t="inlineStr">
        <is>
          <t>Net AI W/ ARCH ($B)</t>
        </is>
      </c>
      <c r="H5" s="4" t="inlineStr">
        <is>
          <t>% spend cut</t>
        </is>
      </c>
    </row>
    <row r="6">
      <c r="A6" t="inlineStr">
        <is>
          <t>Microsoft</t>
        </is>
      </c>
      <c r="B6" s="5">
        <f>Microsoft!$B$32</f>
        <v/>
      </c>
      <c r="C6" s="5">
        <f>Microsoft!$B$33</f>
        <v/>
      </c>
      <c r="D6" s="5">
        <f>Microsoft!$B$34</f>
        <v/>
      </c>
      <c r="E6" s="6">
        <f>Microsoft!$B$35</f>
        <v/>
      </c>
      <c r="F6" s="5">
        <f>Microsoft!$B$36</f>
        <v/>
      </c>
      <c r="G6" s="6">
        <f>Microsoft!$B$37</f>
        <v/>
      </c>
      <c r="H6" s="7">
        <f>Microsoft!$B$38</f>
        <v/>
      </c>
    </row>
    <row r="7">
      <c r="A7" t="inlineStr">
        <is>
          <t>Alphabet</t>
        </is>
      </c>
      <c r="B7" s="5">
        <f>Alphabet!$B$32</f>
        <v/>
      </c>
      <c r="C7" s="5">
        <f>Alphabet!$B$33</f>
        <v/>
      </c>
      <c r="D7" s="5">
        <f>Alphabet!$B$34</f>
        <v/>
      </c>
      <c r="E7" s="6">
        <f>Alphabet!$B$35</f>
        <v/>
      </c>
      <c r="F7" s="5">
        <f>Alphabet!$B$36</f>
        <v/>
      </c>
      <c r="G7" s="6">
        <f>Alphabet!$B$37</f>
        <v/>
      </c>
      <c r="H7" s="7">
        <f>Alphabet!$B$38</f>
        <v/>
      </c>
    </row>
    <row r="8">
      <c r="A8" t="inlineStr">
        <is>
          <t>Amazon</t>
        </is>
      </c>
      <c r="B8" s="5">
        <f>Amazon!$B$32</f>
        <v/>
      </c>
      <c r="C8" s="5">
        <f>Amazon!$B$33</f>
        <v/>
      </c>
      <c r="D8" s="5">
        <f>Amazon!$B$34</f>
        <v/>
      </c>
      <c r="E8" s="6">
        <f>Amazon!$B$35</f>
        <v/>
      </c>
      <c r="F8" s="5">
        <f>Amazon!$B$36</f>
        <v/>
      </c>
      <c r="G8" s="6">
        <f>Amazon!$B$37</f>
        <v/>
      </c>
      <c r="H8" s="7">
        <f>Amazon!$B$38</f>
        <v/>
      </c>
    </row>
    <row r="9">
      <c r="A9" t="inlineStr">
        <is>
          <t>Meta</t>
        </is>
      </c>
      <c r="B9" s="5">
        <f>Meta!$B$32</f>
        <v/>
      </c>
      <c r="C9" s="5">
        <f>Meta!$B$33</f>
        <v/>
      </c>
      <c r="D9" s="5">
        <f>Meta!$B$34</f>
        <v/>
      </c>
      <c r="E9" s="6">
        <f>Meta!$B$35</f>
        <v/>
      </c>
      <c r="F9" s="5">
        <f>Meta!$B$36</f>
        <v/>
      </c>
      <c r="G9" s="6">
        <f>Meta!$B$37</f>
        <v/>
      </c>
      <c r="H9" s="7">
        <f>Meta!$B$38</f>
        <v/>
      </c>
    </row>
    <row r="10">
      <c r="A10" t="inlineStr">
        <is>
          <t>Oracle</t>
        </is>
      </c>
      <c r="B10" s="5">
        <f>Oracle!$B$32</f>
        <v/>
      </c>
      <c r="C10" s="5">
        <f>Oracle!$B$33</f>
        <v/>
      </c>
      <c r="D10" s="5">
        <f>Oracle!$B$34</f>
        <v/>
      </c>
      <c r="E10" s="6">
        <f>Oracle!$B$35</f>
        <v/>
      </c>
      <c r="F10" s="5">
        <f>Oracle!$B$36</f>
        <v/>
      </c>
      <c r="G10" s="6">
        <f>Oracle!$B$37</f>
        <v/>
      </c>
      <c r="H10" s="7">
        <f>Oracle!$B$38</f>
        <v/>
      </c>
    </row>
    <row r="11">
      <c r="A11" t="inlineStr">
        <is>
          <t>SpaceX</t>
        </is>
      </c>
      <c r="B11" s="5">
        <f>SpaceX!$B$32</f>
        <v/>
      </c>
      <c r="C11" s="5">
        <f>SpaceX!$B$33</f>
        <v/>
      </c>
      <c r="D11" s="5">
        <f>SpaceX!$B$34</f>
        <v/>
      </c>
      <c r="E11" s="6">
        <f>SpaceX!$B$35</f>
        <v/>
      </c>
      <c r="F11" s="5">
        <f>SpaceX!$B$36</f>
        <v/>
      </c>
      <c r="G11" s="6">
        <f>SpaceX!$B$37</f>
        <v/>
      </c>
      <c r="H11" s="7">
        <f>SpaceX!$B$38</f>
        <v/>
      </c>
    </row>
    <row r="12">
      <c r="A12" s="8" t="inlineStr">
        <is>
          <t>TOTAL (6)</t>
        </is>
      </c>
      <c r="B12" s="9">
        <f>SUM(B6:B11)</f>
        <v/>
      </c>
      <c r="C12" s="9">
        <f>SUM(C6:C11)</f>
        <v/>
      </c>
      <c r="D12" s="9">
        <f>SUM(D6:D11)</f>
        <v/>
      </c>
      <c r="E12" s="9">
        <f>SUM(E6:E11)</f>
        <v/>
      </c>
      <c r="F12" s="9">
        <f>SUM(F6:F11)</f>
        <v/>
      </c>
      <c r="G12" s="9">
        <f>SUM(G6:G11)</f>
        <v/>
      </c>
      <c r="H12" s="10">
        <f>F12/(C12+D12)</f>
        <v/>
      </c>
    </row>
    <row r="13">
      <c r="A13" s="8" t="inlineStr">
        <is>
          <t>FY2026 (estimate)</t>
        </is>
      </c>
      <c r="E13" s="11">
        <f>SUM(Microsoft!$C$35,Alphabet!$C$35,Amazon!$C$35,Meta!$C$35,Oracle!$C$35,SpaceX!$C$35)</f>
        <v/>
      </c>
      <c r="F13" s="11">
        <f>SUM(Microsoft!$C$36,Alphabet!$C$36,Amazon!$C$36,Meta!$C$36,Oracle!$C$36,SpaceX!$C$36)</f>
        <v/>
      </c>
      <c r="G13" s="11">
        <f>SUM(Microsoft!$C$37,Alphabet!$C$37,Amazon!$C$37,Meta!$C$37,Oracle!$C$37,SpaceX!$C$37)</f>
        <v/>
      </c>
    </row>
    <row r="15">
      <c r="A15" s="1" t="inlineStr">
        <is>
          <t>SAVINGS BREAKDOWN — the spend cut, split</t>
        </is>
      </c>
      <c r="B15" s="2" t="n"/>
      <c r="C15" s="2" t="n"/>
      <c r="D15" s="2" t="n"/>
      <c r="E15" s="2" t="n"/>
      <c r="F15" s="2" t="n"/>
      <c r="G15" s="2" t="n"/>
      <c r="H15" s="2" t="n"/>
    </row>
    <row r="16">
      <c r="A16" t="inlineStr">
        <is>
          <t>Cost-weighted reduction (Amdahl)</t>
        </is>
      </c>
      <c r="B16" s="12">
        <f>Inputs!$B$20</f>
        <v/>
      </c>
      <c r="C16" t="inlineStr">
        <is>
          <t>x</t>
        </is>
      </c>
    </row>
    <row r="18">
      <c r="B18" s="8" t="inlineStr">
        <is>
          <t>Saved OPEX</t>
        </is>
      </c>
      <c r="C18" s="4" t="inlineStr">
        <is>
          <t>Avoided CAPEX (Overspend)</t>
        </is>
      </c>
      <c r="D18" s="8" t="inlineStr">
        <is>
          <t>Total</t>
        </is>
      </c>
    </row>
    <row r="19">
      <c r="A19" t="inlineStr">
        <is>
          <t>FY2025 annual ($B/yr)</t>
        </is>
      </c>
      <c r="B19" s="5">
        <f>SUM(Microsoft!B26,Alphabet!B26,Amazon!B26,Meta!B26,Oracle!B26,SpaceX!B26)/1000</f>
        <v/>
      </c>
      <c r="C19" s="5">
        <f>SUM(Microsoft!B25,Alphabet!B25,Amazon!B25,Meta!B25,Oracle!B25,SpaceX!B25)</f>
        <v/>
      </c>
      <c r="D19" s="5">
        <f>B19+C19</f>
        <v/>
      </c>
    </row>
    <row r="20">
      <c r="A20" s="8" t="inlineStr">
        <is>
          <t>FY2025 capitalized ($B)</t>
        </is>
      </c>
      <c r="B20" s="13">
        <f>B19/Inputs!$B$6</f>
        <v/>
      </c>
      <c r="C20" s="13">
        <f>C19/Inputs!$B$6</f>
        <v/>
      </c>
      <c r="D20" s="13">
        <f>B20+C20</f>
        <v/>
      </c>
    </row>
    <row r="21">
      <c r="A21" t="inlineStr">
        <is>
          <t>FY2026 annual ($B/yr)</t>
        </is>
      </c>
      <c r="B21" s="5">
        <f>SUM(Microsoft!C26,Alphabet!C26,Amazon!C26,Meta!C26,Oracle!C26,SpaceX!C26)/1000</f>
        <v/>
      </c>
      <c r="C21" s="5">
        <f>SUM(Microsoft!C25,Alphabet!C25,Amazon!C25,Meta!C25,Oracle!C25,SpaceX!C25)</f>
        <v/>
      </c>
      <c r="D21" s="5">
        <f>B21+C21</f>
        <v/>
      </c>
    </row>
    <row r="22">
      <c r="A22" s="8" t="inlineStr">
        <is>
          <t>FY2026 capitalized ($B)</t>
        </is>
      </c>
      <c r="B22" s="13">
        <f>B21/Inputs!$B$6</f>
        <v/>
      </c>
      <c r="C22" s="13">
        <f>C21/Inputs!$B$6</f>
        <v/>
      </c>
      <c r="D22" s="13">
        <f>B22+C22</f>
        <v/>
      </c>
    </row>
    <row r="23">
      <c r="A23" s="8" t="inlineStr">
        <is>
          <t>GLOBAL capitalized -- est. ($B)</t>
        </is>
      </c>
      <c r="B23" s="13">
        <f>D20/Inputs!$B$14</f>
        <v/>
      </c>
      <c r="C23" s="13">
        <f>D22/Inputs!$B$14</f>
        <v/>
      </c>
      <c r="D23" s="3" t="inlineStr">
        <is>
          <t>named-floor capitalized / named-share-of-global (Inputs B14). ESTIMATE: grosses up for other clouds, China, neoclouds, xAI, sovereign.</t>
        </is>
      </c>
    </row>
    <row r="24">
      <c r="A24" t="inlineStr">
        <is>
          <t>% reduction</t>
        </is>
      </c>
      <c r="B24" s="7">
        <f>1-1/Inputs!$B$5</f>
        <v/>
      </c>
      <c r="C24" s="7">
        <f>1-1/Inputs!$B$20</f>
        <v/>
      </c>
    </row>
    <row r="25">
      <c r="A25" s="3" t="inlineStr">
        <is>
          <t>OPEX = power saved each year (recoupable). CAPEX 'Overspend' = AI capex made unnecessary. TOGGLE: Inputs 'Datacenter scaling factor' (0 = accelerator-only/conservative; 1 = whole datacenter scales with the smaller fleet). At 0 the burn ~halves; at ~0.7 net AI hits breakeven; at 1 it flips positive. Capitalized = annual / discount rate.</t>
        </is>
      </c>
    </row>
    <row r="27">
      <c r="A27" s="1" t="inlineStr">
        <is>
          <t>TABS</t>
        </is>
      </c>
      <c r="B27" s="2" t="n"/>
      <c r="C27" s="2" t="n"/>
      <c r="D27" s="2" t="n"/>
      <c r="E27" s="2" t="n"/>
      <c r="F27" s="2" t="n"/>
      <c r="G27" s="2" t="n"/>
      <c r="H27" s="2" t="n"/>
    </row>
    <row r="28">
      <c r="A28" s="8" t="inlineStr">
        <is>
          <t>Microsoft / Alphabet / Amazon / Meta / Oracle / SpaceX</t>
        </is>
      </c>
      <c r="B28" s="3" t="inlineStr">
        <is>
          <t>one tab each: full build capex -&gt; infra -&gt; servers -&gt; accelerator -&gt; fleet/opex -&gt; value</t>
        </is>
      </c>
    </row>
    <row r="29">
      <c r="A29" s="8" t="inlineStr">
        <is>
          <t>Inputs</t>
        </is>
      </c>
      <c r="B29" s="3" t="inlineStr">
        <is>
          <t>global assumptions + the reduction engine (cost-weighted factor)</t>
        </is>
      </c>
    </row>
    <row r="30">
      <c r="A30" s="8" t="inlineStr">
        <is>
          <t>Sensitivity</t>
        </is>
      </c>
      <c r="B30" s="3" t="inlineStr">
        <is>
          <t>SpaceX value across reduction tiers (10x/30x/100x/cost-weighted)</t>
        </is>
      </c>
    </row>
    <row r="31">
      <c r="A31" s="8" t="inlineStr">
        <is>
          <t>CostLadder</t>
        </is>
      </c>
      <c r="B31" s="3" t="inlineStr">
        <is>
          <t>own-silicon vs buy-NVIDIA vs rent $/GPU-hr</t>
        </is>
      </c>
    </row>
    <row r="32">
      <c r="A32" s="8" t="inlineStr">
        <is>
          <t>Evidence</t>
        </is>
      </c>
      <c r="B32" s="3" t="inlineStr">
        <is>
          <t>BOM cost split, accelerator-share data, own-silicon TCO, filing top-lines</t>
        </is>
      </c>
    </row>
    <row r="33">
      <c r="A33" s="8" t="inlineStr">
        <is>
          <t>Methodology</t>
        </is>
      </c>
      <c r="B33" s="3" t="inlineStr">
        <is>
          <t>step-by-step logic, caveats, sources</t>
        </is>
      </c>
    </row>
    <row r="35">
      <c r="A35" s="8" t="inlineStr">
        <is>
          <t>Legend: yellow = assumption / lever (each maps to a slider in the Streamlit app)  ·  green = disclosed filing or market data  ·  blue = derived formula.</t>
        </is>
      </c>
    </row>
  </sheetData>
  <mergeCells count="9">
    <mergeCell ref="B32:H32"/>
    <mergeCell ref="A35:H35"/>
    <mergeCell ref="A25:H25"/>
    <mergeCell ref="A2:H2"/>
    <mergeCell ref="B31:H31"/>
    <mergeCell ref="B30:H30"/>
    <mergeCell ref="B29:H29"/>
    <mergeCell ref="B33:H33"/>
    <mergeCell ref="B28:H2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Microsoft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88</v>
      </c>
      <c r="C3" s="15" t="n">
        <v>190</v>
      </c>
      <c r="D3" s="3" t="inlineStr">
        <is>
          <t>FY25 capex incl leases ~$88B [DISCLOSED proxy]; FY26 ~$190B CY26 guide (Jul'26 restated to ~$175B capex+finance-leases on an accounting change -- the gross guide is kept here). Short-lived 'half'-&gt;'two-thirds' (CFO). Accel ~75% [BOM]. AI rev $37B run-rate (Q3 FY26).</t>
        </is>
      </c>
    </row>
    <row r="4">
      <c r="A4" t="inlineStr">
        <is>
          <t>Infra / data-center share</t>
        </is>
      </c>
      <c r="B4" s="16" t="n">
        <v>1</v>
      </c>
      <c r="C4" s="16" t="n">
        <v>1</v>
      </c>
      <c r="D4" s="3" t="inlineStr">
        <is>
          <t>strips non-AI (Amazon = AWS only)</t>
        </is>
      </c>
    </row>
    <row r="5">
      <c r="A5" t="inlineStr">
        <is>
          <t>Server / short-lived share</t>
        </is>
      </c>
      <c r="B5" s="16" t="n">
        <v>0.5</v>
      </c>
      <c r="C5" s="16" t="n">
        <v>0.67</v>
      </c>
      <c r="D5" s="3" t="inlineStr">
        <is>
          <t>CFO-disclosed (MSFT rose 50%-&gt;67%)</t>
        </is>
      </c>
    </row>
    <row r="6">
      <c r="A6" t="inlineStr">
        <is>
          <t>Accelerator share within servers</t>
        </is>
      </c>
      <c r="B6" s="16" t="n">
        <v>0.75</v>
      </c>
      <c r="C6" s="16" t="n">
        <v>0.75</v>
      </c>
      <c r="D6" s="3" t="inlineStr">
        <is>
          <t>from BOM teardowns (~67-80%)</t>
        </is>
      </c>
    </row>
    <row r="7">
      <c r="A7" t="inlineStr">
        <is>
          <t>Market cap ($B, approx)</t>
        </is>
      </c>
      <c r="B7" s="17" t="n">
        <v>3700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30</v>
      </c>
      <c r="C32" s="15" t="n">
        <v>50</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&gt;$88B incl leases; server life 2-6yr (FY25 10-K)</t>
        </is>
      </c>
      <c r="B41" s="22" t="inlineStr">
        <is>
          <t>https://www.sec.gov/Archives/edgar/data/789019/000095017025100235/msft-20250630.htm</t>
        </is>
      </c>
    </row>
    <row r="42">
      <c r="A42" s="3" t="inlineStr">
        <is>
          <t>FY26 ~$190B guide; 'two-thirds' short-lived = GPUs+CPUs (Q3 FY26 call)</t>
        </is>
      </c>
      <c r="B42" s="22" t="inlineStr">
        <is>
          <t>https://www.fool.com/earnings/call-transcripts/2026/04/29/microsoft-msft-q3-2026-earnings-transcript/</t>
        </is>
      </c>
    </row>
    <row r="43">
      <c r="A43" s="3" t="inlineStr">
        <is>
          <t>AI revenue $37B annual run-rate (Q3 FY26)</t>
        </is>
      </c>
      <c r="B43" s="22" t="inlineStr">
        <is>
          <t>https://news.alphastreet.com/microsoft-msft-q3-fy2026-azure-hits-40-growth-as-ai-business-reaches-37-billion-run-rate/</t>
        </is>
      </c>
    </row>
    <row r="44">
      <c r="A44" s="3" t="inlineStr">
        <is>
          <t>~485k Hopper GPUs / ~$31B in 2024 (Omdia) - cross-checks accel capex</t>
        </is>
      </c>
      <c r="B44" s="22" t="inlineStr">
        <is>
          <t>https://techcrunch.com/2024/12/18/microsoft-bought-nearly-500000-nvidia-hopper-chips-this-year/</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Alphabet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91.40000000000001</v>
      </c>
      <c r="C3" s="15" t="n">
        <v>185</v>
      </c>
      <c r="D3" s="3" t="inlineStr">
        <is>
          <t>FY25 capex $91.4B [DISCLOSED]; FY26 $180-190B guide. 60% servers / 40% DC (CFO). Accel ~67% [BOM]. AI rev ESTIMATE (Cloud $70B run-rate, AI subset).</t>
        </is>
      </c>
    </row>
    <row r="4">
      <c r="A4" t="inlineStr">
        <is>
          <t>Infra / data-center share</t>
        </is>
      </c>
      <c r="B4" s="16" t="n">
        <v>1</v>
      </c>
      <c r="C4" s="16" t="n">
        <v>1</v>
      </c>
      <c r="D4" s="3" t="inlineStr">
        <is>
          <t>strips non-AI (Amazon = AWS only)</t>
        </is>
      </c>
    </row>
    <row r="5">
      <c r="A5" t="inlineStr">
        <is>
          <t>Server / short-lived share</t>
        </is>
      </c>
      <c r="B5" s="16" t="n">
        <v>0.6</v>
      </c>
      <c r="C5" s="16" t="n">
        <v>0.6</v>
      </c>
      <c r="D5" s="3" t="inlineStr">
        <is>
          <t>CFO-disclosed (MSFT rose 50%-&gt;67%)</t>
        </is>
      </c>
    </row>
    <row r="6">
      <c r="A6" t="inlineStr">
        <is>
          <t>Accelerator share within servers</t>
        </is>
      </c>
      <c r="B6" s="16" t="n">
        <v>0.67</v>
      </c>
      <c r="C6" s="16" t="n">
        <v>0.67</v>
      </c>
      <c r="D6" s="3" t="inlineStr">
        <is>
          <t>from BOM teardowns (~67-80%)</t>
        </is>
      </c>
    </row>
    <row r="7">
      <c r="A7" t="inlineStr">
        <is>
          <t>Market cap ($B, approx)</t>
        </is>
      </c>
      <c r="B7" s="17" t="n">
        <v>4250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25</v>
      </c>
      <c r="C32" s="15" t="n">
        <v>40</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$91.4B; CFO 60% servers / 40% DC+net (Q4'25 call)</t>
        </is>
      </c>
      <c r="B41" s="22" t="inlineStr">
        <is>
          <t>https://www.fool.com/earnings/call-transcripts/2026/02/04/alphabet-googl-q4-2025-earnings-call-transcript/</t>
        </is>
      </c>
    </row>
    <row r="42">
      <c r="A42" s="3" t="inlineStr">
        <is>
          <t>FY26 guide $180-190B (Q1'26)</t>
        </is>
      </c>
      <c r="B42" s="22" t="inlineStr">
        <is>
          <t>https://www.cnbc.com/2026/04/29/alphabet-googl-q1-2026-earnings.html</t>
        </is>
      </c>
    </row>
    <row r="43">
      <c r="A43" s="3" t="inlineStr">
        <is>
          <t>Server life 6yr; TPU at-cost TCO 20-50% below NVIDIA (SemiAnalysis)</t>
        </is>
      </c>
      <c r="B43" s="22" t="inlineStr">
        <is>
          <t>https://newsletter.semianalysis.com/p/tpuv7-google-takes-a-swing-at-the</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Amazon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128.3</v>
      </c>
      <c r="C3" s="15" t="n">
        <v>220</v>
      </c>
      <c r="D3" s="3" t="inlineStr">
        <is>
          <t>FY25 cash capex $128.3B [DISCLOSED]; FY26 raised to ~$220B (Q2'26, 2026-07-30). AWS ~68-70% -&gt; strips fulfillment. Accel ~67% [BOM]. AI rev &gt;$15B AWS run-rate (Q1 FY26, Jassy).</t>
        </is>
      </c>
    </row>
    <row r="4">
      <c r="A4" t="inlineStr">
        <is>
          <t>Infra / data-center share</t>
        </is>
      </c>
      <c r="B4" s="16" t="n">
        <v>0.68</v>
      </c>
      <c r="C4" s="16" t="n">
        <v>0.7</v>
      </c>
      <c r="D4" s="3" t="inlineStr">
        <is>
          <t>strips non-AI (Amazon = AWS only)</t>
        </is>
      </c>
    </row>
    <row r="5">
      <c r="A5" t="inlineStr">
        <is>
          <t>Server / short-lived share</t>
        </is>
      </c>
      <c r="B5" s="16" t="n">
        <v>0.65</v>
      </c>
      <c r="C5" s="16" t="n">
        <v>0.65</v>
      </c>
      <c r="D5" s="3" t="inlineStr">
        <is>
          <t>CFO-disclosed (MSFT rose 50%-&gt;67%)</t>
        </is>
      </c>
    </row>
    <row r="6">
      <c r="A6" t="inlineStr">
        <is>
          <t>Accelerator share within servers</t>
        </is>
      </c>
      <c r="B6" s="16" t="n">
        <v>0.67</v>
      </c>
      <c r="C6" s="16" t="n">
        <v>0.67</v>
      </c>
      <c r="D6" s="3" t="inlineStr">
        <is>
          <t>from BOM teardowns (~67-80%)</t>
        </is>
      </c>
    </row>
    <row r="7">
      <c r="A7" t="inlineStr">
        <is>
          <t>Market cap ($B, approx)</t>
        </is>
      </c>
      <c r="B7" s="17" t="n">
        <v>2830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12</v>
      </c>
      <c r="C32" s="15" t="n">
        <v>22</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cash capex $128.3B; AWS 67.8% of net P&amp;E adds; server life 6-&gt;5yr (FY25 10-K)</t>
        </is>
      </c>
      <c r="B41" s="22" t="inlineStr">
        <is>
          <t>https://www.sec.gov/Archives/edgar/data/1018724/000101872426000004/amzn-20251231.htm</t>
        </is>
      </c>
    </row>
    <row r="42">
      <c r="A42" s="3" t="inlineStr">
        <is>
          <t>~$200B 2026 capex, 'predominantly AWS' (Q4'25 call)</t>
        </is>
      </c>
      <c r="B42" s="22" t="inlineStr">
        <is>
          <t>https://www.fool.com/earnings/call-transcripts/2026/02/05/amazon-amzn-q4-2025-earnings-call-transcript/</t>
        </is>
      </c>
    </row>
    <row r="43">
      <c r="A43" s="3" t="inlineStr">
        <is>
          <t>AWS AI revenue &gt;$15B annual run-rate (Q1'26, Jassy)</t>
        </is>
      </c>
      <c r="B43" s="22" t="inlineStr">
        <is>
          <t>https://www.bnnbloomberg.ca/business/artificial-intelligence/2026/04/09/amazon-cloud-units-ai-revenue-run-rate-exceeds-us15-billion-in-first-quarter-ceo-says/</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Meta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72.2</v>
      </c>
      <c r="C3" s="15" t="n">
        <v>137.5</v>
      </c>
      <c r="D3" s="3" t="inlineStr">
        <is>
          <t>FY25 capex incl leases $72.2B [DISCLOSED]; FY26 $130-145B guide (mid 137.5). Accel ~74% [BOM]. AI rev DIRECT est ~$4B -- Meta's real AI payoff is INDIRECT ad-uplift (~$20B), not counted.</t>
        </is>
      </c>
    </row>
    <row r="4">
      <c r="A4" t="inlineStr">
        <is>
          <t>Infra / data-center share</t>
        </is>
      </c>
      <c r="B4" s="16" t="n">
        <v>1</v>
      </c>
      <c r="C4" s="16" t="n">
        <v>1</v>
      </c>
      <c r="D4" s="3" t="inlineStr">
        <is>
          <t>strips non-AI (Amazon = AWS only)</t>
        </is>
      </c>
    </row>
    <row r="5">
      <c r="A5" t="inlineStr">
        <is>
          <t>Server / short-lived share</t>
        </is>
      </c>
      <c r="B5" s="16" t="n">
        <v>0.65</v>
      </c>
      <c r="C5" s="16" t="n">
        <v>0.65</v>
      </c>
      <c r="D5" s="3" t="inlineStr">
        <is>
          <t>CFO-disclosed (MSFT rose 50%-&gt;67%)</t>
        </is>
      </c>
    </row>
    <row r="6">
      <c r="A6" t="inlineStr">
        <is>
          <t>Accelerator share within servers</t>
        </is>
      </c>
      <c r="B6" s="16" t="n">
        <v>0.74</v>
      </c>
      <c r="C6" s="16" t="n">
        <v>0.74</v>
      </c>
      <c r="D6" s="3" t="inlineStr">
        <is>
          <t>from BOM teardowns (~67-80%)</t>
        </is>
      </c>
    </row>
    <row r="7">
      <c r="A7" t="inlineStr">
        <is>
          <t>Market cap ($B, approx)</t>
        </is>
      </c>
      <c r="B7" s="17" t="n">
        <v>1490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4</v>
      </c>
      <c r="C32" s="15" t="n">
        <v>8</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$72.2B incl finance leases (Q4/FY25 release)</t>
        </is>
      </c>
      <c r="B41" s="22" t="inlineStr">
        <is>
          <t>https://investor.atmeta.com/investor-news/press-release-details/2026/Meta-Reports-Fourth-Quarter-and-Full-Year-2025-Results/default.aspx</t>
        </is>
      </c>
    </row>
    <row r="42">
      <c r="A42" s="3" t="inlineStr">
        <is>
          <t>FY26 $125-145B guide; raise driven by HBM pricing (Q1'26 call)</t>
        </is>
      </c>
      <c r="B42" s="22" t="inlineStr">
        <is>
          <t>https://www.fool.com/earnings/call-transcripts/2026/04/29/meta-meta-q1-2026-earnings-call-transcript/</t>
        </is>
      </c>
    </row>
    <row r="43">
      <c r="A43" s="3" t="inlineStr">
        <is>
          <t>&gt;1.3M GPUs by end-2025 (Zuckerberg) - cross-checks accel capex</t>
        </is>
      </c>
      <c r="B43" s="22" t="inlineStr">
        <is>
          <t>https://techcrunch.com/2025/01/24/mark-zuckerberg-says-meta-will-have-1-3m-gpus-for-ai-by-year-end/</t>
        </is>
      </c>
    </row>
    <row r="44">
      <c r="A44" s="3" t="inlineStr">
        <is>
          <t>Server life 5.5yr (-$2.9B depreciation)</t>
        </is>
      </c>
      <c r="B44" s="22" t="inlineStr">
        <is>
          <t>https://www.thestack.technology/meta-extends-server-life-again-saving-it-2-9-billion/</t>
        </is>
      </c>
    </row>
    <row r="45">
      <c r="A45" s="3" t="inlineStr">
        <is>
          <t>~25% of capex to NVIDIA (Bloomberg) - accel-share basis</t>
        </is>
      </c>
      <c r="B45" s="22" t="inlineStr">
        <is>
          <t>https://finance.yahoo.com/news/big-techs-spending-drove-nvidias-rise-154027146.html</t>
        </is>
      </c>
    </row>
  </sheetData>
  <mergeCells count="5">
    <mergeCell ref="B42:D42"/>
    <mergeCell ref="B45:D45"/>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 xmlns:r="http://schemas.openxmlformats.org/officeDocument/2006/relationships" ref="B45" r:id="rId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Oracle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21.2</v>
      </c>
      <c r="C3" s="15" t="n">
        <v>55.7</v>
      </c>
      <c r="D3" s="3" t="inlineStr">
        <is>
          <t>FY25 capex $21.2B [DISCLOSED 10-K]; FY26 ACTUAL $55.7B (reported 2026-06-10; FY27 guide ~$70B net / up to $95B gross). Capex ~all OCI/GPU data centers. Accel ~70% [BOM]. AI rev = OCI/GPU cloud (IaaS ~$12B r/r Q4 FY25; AI subset, EST).</t>
        </is>
      </c>
    </row>
    <row r="4">
      <c r="A4" t="inlineStr">
        <is>
          <t>Infra / data-center share</t>
        </is>
      </c>
      <c r="B4" s="16" t="n">
        <v>0.85</v>
      </c>
      <c r="C4" s="16" t="n">
        <v>0.9</v>
      </c>
      <c r="D4" s="3" t="inlineStr">
        <is>
          <t>strips non-AI (Amazon = AWS only)</t>
        </is>
      </c>
    </row>
    <row r="5">
      <c r="A5" t="inlineStr">
        <is>
          <t>Server / short-lived share</t>
        </is>
      </c>
      <c r="B5" s="16" t="n">
        <v>0.75</v>
      </c>
      <c r="C5" s="16" t="n">
        <v>0.75</v>
      </c>
      <c r="D5" s="3" t="inlineStr">
        <is>
          <t>CFO-disclosed (MSFT rose 50%-&gt;67%)</t>
        </is>
      </c>
    </row>
    <row r="6">
      <c r="A6" t="inlineStr">
        <is>
          <t>Accelerator share within servers</t>
        </is>
      </c>
      <c r="B6" s="16" t="n">
        <v>0.7</v>
      </c>
      <c r="C6" s="16" t="n">
        <v>0.7</v>
      </c>
      <c r="D6" s="3" t="inlineStr">
        <is>
          <t>from BOM teardowns (~67-80%)</t>
        </is>
      </c>
    </row>
    <row r="7">
      <c r="A7" t="inlineStr">
        <is>
          <t>Market cap ($B, approx)</t>
        </is>
      </c>
      <c r="B7" s="17" t="n">
        <v>433</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8</v>
      </c>
      <c r="C32" s="15" t="n">
        <v>15</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$21.2B; FY26 ~$50B guide on $67B rev (CIO Dive)</t>
        </is>
      </c>
      <c r="B41" s="22" t="inlineStr">
        <is>
          <t>https://www.ciodive.com/news/oracle-capex-spike-cloud-ai-data-center/807721/</t>
        </is>
      </c>
    </row>
    <row r="42">
      <c r="A42" s="3" t="inlineStr">
        <is>
          <t>OCI run-rate ~$27B exiting FY25; IaaS $3.0B Q4 +52%; RPO $138B (Q4 FY25)</t>
        </is>
      </c>
      <c r="B42" s="22" t="inlineStr">
        <is>
          <t>https://futurumgroup.com/insights/oracle-delivers-q4-fy-2025-results-with-27-cloud-growth-rpo-hits-138-billion/</t>
        </is>
      </c>
    </row>
    <row r="43">
      <c r="A43" s="3" t="inlineStr">
        <is>
          <t>FY26 OCI +77% to ~$18B; RPO $523B +433% on AI deals (Q2 FY26)</t>
        </is>
      </c>
      <c r="B43" s="22" t="inlineStr">
        <is>
          <t>https://futurumgroup.com/insights/oracle-q2-fy-2026-cloud-grows-capex-rises-for-ai-buildout/</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SpaceX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12.7</v>
      </c>
      <c r="C3" s="15" t="n">
        <v>18</v>
      </c>
      <c r="D3" s="3" t="inlineStr">
        <is>
          <t>FY25 S-1 AI capex $12.7B [DISCLOSED]; FY26 ~$18B (ESTIMATE, likely conservative -- Q1'26 AI capex alone was $7.7B, ~$31B annualized). ~all accelerator (greenfield). AI rev ~0 (nascent; Anthropic orbital compute is future).</t>
        </is>
      </c>
    </row>
    <row r="4">
      <c r="A4" t="inlineStr">
        <is>
          <t>Infra / data-center share</t>
        </is>
      </c>
      <c r="B4" s="16" t="n">
        <v>1</v>
      </c>
      <c r="C4" s="16" t="n">
        <v>1</v>
      </c>
      <c r="D4" s="3" t="inlineStr">
        <is>
          <t>strips non-AI (Amazon = AWS only)</t>
        </is>
      </c>
    </row>
    <row r="5">
      <c r="A5" t="inlineStr">
        <is>
          <t>Server / short-lived share</t>
        </is>
      </c>
      <c r="B5" s="16" t="n">
        <v>0.79</v>
      </c>
      <c r="C5" s="16" t="n">
        <v>0.79</v>
      </c>
      <c r="D5" s="3" t="inlineStr">
        <is>
          <t>CFO-disclosed (MSFT rose 50%-&gt;67%)</t>
        </is>
      </c>
    </row>
    <row r="6">
      <c r="A6" t="inlineStr">
        <is>
          <t>Accelerator share within servers</t>
        </is>
      </c>
      <c r="B6" s="16" t="n">
        <v>1</v>
      </c>
      <c r="C6" s="16" t="n">
        <v>1</v>
      </c>
      <c r="D6" s="3" t="inlineStr">
        <is>
          <t>from BOM teardowns (~67-80%)</t>
        </is>
      </c>
    </row>
    <row r="7">
      <c r="A7" t="inlineStr">
        <is>
          <t>Market cap ($B, approx)</t>
        </is>
      </c>
      <c r="B7" s="17" t="n">
        <v>1840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0.3</v>
      </c>
      <c r="C32" s="15" t="n">
        <v>1</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S-1 registration statement (SEC EDGAR)</t>
        </is>
      </c>
      <c r="B41" s="22" t="inlineStr">
        <is>
          <t>https://www.sec.gov/Archives/edgar/data/1181412/000162828026036936/spaceexplorationtechnologi.htm</t>
        </is>
      </c>
    </row>
    <row r="42">
      <c r="A42" s="3" t="inlineStr">
        <is>
          <t>S-1 financials &amp; AI breakdown (Hargreaves Lansdown)</t>
        </is>
      </c>
      <c r="B42" s="22" t="inlineStr">
        <is>
          <t>https://www.hl.co.uk/news/inside-spacexs-ipo-filing-revenue-starlink-ai-and-key-financials</t>
        </is>
      </c>
    </row>
    <row r="43">
      <c r="A43" s="3" t="inlineStr">
        <is>
          <t>$12.7B AI capex = ~60% of capex; COLOSSUS buildout (Investing.com)</t>
        </is>
      </c>
      <c r="B43" s="22" t="inlineStr">
        <is>
          <t>https://www.investing.com/analysis/spacex-is-quietly-becoming-an-ai-compute-and-orbital-infrastructure-company-200681776</t>
        </is>
      </c>
    </row>
    <row r="44">
      <c r="A44" s="3" t="inlineStr">
        <is>
          <t>AI1 orbital data centers; Anthropic as compute customer (DCD)</t>
        </is>
      </c>
      <c r="B44" s="22" t="inlineStr">
        <is>
          <t>https://www.datacenterdynamics.com/en/news/spacex-ipo-musks-firm-set-to-launch-first-orbital-data-center-ai1-satellites-in-2027-will-put-compute-on-starlink-craft/</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40" customWidth="1" min="1" max="1"/>
    <col width="13" customWidth="1" min="2" max="2"/>
    <col width="8" customWidth="1" min="3" max="3"/>
    <col width="76" customWidth="1" min="4" max="4"/>
  </cols>
  <sheetData>
    <row r="1">
      <c r="A1" s="1" t="inlineStr">
        <is>
          <t>GLOBAL INPUTS  —  edit yellow (assumption) cells; green = disclosed/market data</t>
        </is>
      </c>
      <c r="B1" s="2" t="n"/>
      <c r="C1" s="2" t="n"/>
      <c r="D1" s="2" t="n"/>
    </row>
    <row r="2">
      <c r="A2" t="inlineStr">
        <is>
          <t>Memory reduction factor</t>
        </is>
      </c>
      <c r="B2" s="23" t="n">
        <v>100</v>
      </c>
      <c r="C2" t="inlineStr">
        <is>
          <t>x</t>
        </is>
      </c>
      <c r="D2" s="3" t="inlineStr">
        <is>
          <t>1e-2 memory = 100x less (RNN O(1) state vs transformer O(T) KV cache).</t>
        </is>
      </c>
    </row>
    <row r="3">
      <c r="A3" t="inlineStr">
        <is>
          <t>FLOPs reduction factor</t>
        </is>
      </c>
      <c r="B3" s="23">
        <f>$B$24</f>
        <v/>
      </c>
      <c r="C3" t="inlineStr">
        <is>
          <t>x</t>
        </is>
      </c>
      <c r="D3" s="3" t="inlineStr">
        <is>
          <t>TODAY scenario (default) = x9.24: the measured workload blend x2.19 (10:1 input:output, 64k context; prefill x1.17, decode x2.20 on the memory ceiling; training excluded) x the fit-derived equal-quality parameter ratio x4.22 at 1T (rows 23-25 below). Overtype with =B25 for the CEILING scenario (x22.1 = measured prefill x4.02 x 5.5 kernel speedup), or any number. See ServingTraining for the blend.</t>
        </is>
      </c>
    </row>
    <row r="4">
      <c r="A4" t="inlineStr">
        <is>
          <t>Memory share of GPU cost (BOM)</t>
        </is>
      </c>
      <c r="B4" s="24" t="n">
        <v>0.6</v>
      </c>
      <c r="C4" t="inlineStr">
        <is>
          <t>frac</t>
        </is>
      </c>
      <c r="D4" s="3" t="inlineStr">
        <is>
          <t>HBM ~45% of B200 COGS + most CoWoS packaging -&gt; ~60% memory / ~40% compute. See Evidence.</t>
        </is>
      </c>
    </row>
    <row r="5">
      <c r="A5" t="inlineStr">
        <is>
          <t>Opex / energy reduction factor</t>
        </is>
      </c>
      <c r="B5" s="23">
        <f>B20</f>
        <v/>
      </c>
      <c r="C5" t="inlineStr">
        <is>
          <t>x</t>
        </is>
      </c>
      <c r="D5" s="3" t="inlineStr">
        <is>
          <t>DERIVED default = cost-weighted reduction (B20): energy splits memory/compute like cost. Overtype this cell to override.</t>
        </is>
      </c>
    </row>
    <row r="6">
      <c r="A6" t="inlineStr">
        <is>
          <t>Discount rate</t>
        </is>
      </c>
      <c r="B6" s="24" t="n">
        <v>0.06</v>
      </c>
      <c r="C6" t="inlineStr">
        <is>
          <t>frac</t>
        </is>
      </c>
      <c r="D6" s="3" t="inlineStr">
        <is>
          <t>Perpetuity capitalization: value = annual benefit / rate (=16.7x at 6%).</t>
        </is>
      </c>
    </row>
    <row r="7">
      <c r="A7" t="inlineStr">
        <is>
          <t>Fully-loaded cost per GPU</t>
        </is>
      </c>
      <c r="B7" s="25" t="n">
        <v>50000</v>
      </c>
      <c r="C7" t="inlineStr">
        <is>
          <t>$</t>
        </is>
      </c>
      <c r="D7" s="3" t="inlineStr">
        <is>
          <t>B200-class GPU + share of server, NVLink, networking.</t>
        </is>
      </c>
    </row>
    <row r="8">
      <c r="A8" t="inlineStr">
        <is>
          <t>Wall power per GPU</t>
        </is>
      </c>
      <c r="B8" s="23" t="n">
        <v>1.8</v>
      </c>
      <c r="C8" t="inlineStr">
        <is>
          <t>kW</t>
        </is>
      </c>
      <c r="D8" s="3" t="inlineStr">
        <is>
          <t>~1 kW TDP + node overhead x PUE 1.3.</t>
        </is>
      </c>
    </row>
    <row r="9">
      <c r="A9" t="inlineStr">
        <is>
          <t>Electricity rate</t>
        </is>
      </c>
      <c r="B9" s="23" t="n">
        <v>0.08</v>
      </c>
      <c r="C9" t="inlineStr">
        <is>
          <t>$/kWh</t>
        </is>
      </c>
      <c r="D9" s="3" t="inlineStr">
        <is>
          <t>Datacenter wholesale; raise to 0.10-0.12 for grid colo.</t>
        </is>
      </c>
    </row>
    <row r="10">
      <c r="A10" t="inlineStr">
        <is>
          <t>Cooling/ops overhead on energy</t>
        </is>
      </c>
      <c r="B10" s="24" t="n">
        <v>0.25</v>
      </c>
      <c r="C10" t="inlineStr">
        <is>
          <t>frac</t>
        </is>
      </c>
      <c r="D10" s="3" t="inlineStr">
        <is>
          <t>Non-power running cost as fraction of electricity.</t>
        </is>
      </c>
    </row>
    <row r="11">
      <c r="A11" t="inlineStr">
        <is>
          <t>Fleet useful life</t>
        </is>
      </c>
      <c r="B11" s="23" t="n">
        <v>4</v>
      </c>
      <c r="C11" t="inlineStr">
        <is>
          <t>yr</t>
        </is>
      </c>
      <c r="D11" s="3" t="inlineStr">
        <is>
          <t>AI-GPU depreciation life.</t>
        </is>
      </c>
    </row>
    <row r="12">
      <c r="A12" t="inlineStr">
        <is>
          <t>SpaceX market cap</t>
        </is>
      </c>
      <c r="B12" s="26" t="n">
        <v>1840</v>
      </c>
      <c r="C12" t="inlineStr">
        <is>
          <t>$B</t>
        </is>
      </c>
      <c r="D12" s="3" t="inlineStr">
        <is>
          <t>~$1.84T Aug 2026; IPO 2026-06-12 at ~$1.77T (market data; used by Sensitivity).</t>
        </is>
      </c>
    </row>
    <row r="13">
      <c r="A13" t="inlineStr">
        <is>
          <t>Datacenter scaling factor</t>
        </is>
      </c>
      <c r="B13" s="24" t="n">
        <v>0</v>
      </c>
      <c r="C13" t="inlineStr">
        <is>
          <t>frac</t>
        </is>
      </c>
      <c r="D13" s="3" t="inlineStr">
        <is>
          <t>TOGGLE 0-1. 0 = conservative (only accelerator silicon shrinks). 1 = whole AI datacenter (building/power/cooling/net) scales with the smaller fleet. ~0.7 ~= breakeven on net AI.</t>
        </is>
      </c>
    </row>
    <row r="14">
      <c r="A14" t="inlineStr">
        <is>
          <t>Named share of global AI capex</t>
        </is>
      </c>
      <c r="B14" s="24" t="n">
        <v>0.8</v>
      </c>
      <c r="C14" t="inlineStr">
        <is>
          <t>frac</t>
        </is>
      </c>
      <c r="D14" s="3" t="inlineStr">
        <is>
          <t>GLOBAL estimate (Totals): named firms' share of worldwide AI capex; the rest (other clouds, China, neoclouds, xAI, sovereign) is grossed up pro-rata. ESTIMATE.</t>
        </is>
      </c>
    </row>
    <row r="15">
      <c r="A15" s="1" t="inlineStr">
        <is>
          <t>REDUCTION ENGINE (Amdahl cost-weighting) — derived</t>
        </is>
      </c>
      <c r="B15" s="2" t="n"/>
      <c r="C15" s="2" t="n"/>
      <c r="D15" s="2" t="n"/>
    </row>
    <row r="16">
      <c r="A16" t="inlineStr">
        <is>
          <t>Compute share of GPU cost</t>
        </is>
      </c>
      <c r="B16" s="21">
        <f>1-B4</f>
        <v/>
      </c>
      <c r="D16" s="3" t="inlineStr">
        <is>
          <t>1 - memory share</t>
        </is>
      </c>
    </row>
    <row r="17">
      <c r="A17" t="inlineStr">
        <is>
          <t>Memory cost fraction after reduction</t>
        </is>
      </c>
      <c r="B17" s="27">
        <f>B4/B2</f>
        <v/>
      </c>
      <c r="D17" s="3" t="inlineStr">
        <is>
          <t>memory share / memory reduction</t>
        </is>
      </c>
    </row>
    <row r="18">
      <c r="A18" t="inlineStr">
        <is>
          <t>Compute cost fraction after reduction</t>
        </is>
      </c>
      <c r="B18" s="27">
        <f>B16/B3</f>
        <v/>
      </c>
      <c r="D18" s="3" t="inlineStr">
        <is>
          <t>compute share / FLOPs reduction</t>
        </is>
      </c>
    </row>
    <row r="19">
      <c r="A19" t="inlineStr">
        <is>
          <t>Residual cost fraction</t>
        </is>
      </c>
      <c r="B19" s="21">
        <f>B17+B18</f>
        <v/>
      </c>
      <c r="D19" s="3" t="inlineStr">
        <is>
          <t>Amdahl: floored by the least-reduced component</t>
        </is>
      </c>
    </row>
    <row r="20">
      <c r="A20" s="8" t="inlineStr">
        <is>
          <t>COST-WEIGHTED reduction factor</t>
        </is>
      </c>
      <c r="B20" s="12">
        <f>1/B19</f>
        <v/>
      </c>
      <c r="C20" t="inlineStr">
        <is>
          <t>x</t>
        </is>
      </c>
      <c r="D20" s="3" t="inlineStr">
        <is>
          <t>1 / residual. The realistic $ reduction used everywhere.</t>
        </is>
      </c>
    </row>
    <row r="22">
      <c r="A22" s="1" t="inlineStr">
        <is>
          <t>SCENARIOS (2026-08-17 ruling) — TODAY (default) vs CEILING</t>
        </is>
      </c>
      <c r="B22" s="2" t="n"/>
      <c r="C22" s="2" t="n"/>
      <c r="D22" s="2" t="n"/>
    </row>
    <row r="23">
      <c r="A23" t="inlineStr">
        <is>
          <t>Equal-quality parameter ratio at 1T</t>
        </is>
      </c>
      <c r="B23" s="28" t="n">
        <v>4.2185</v>
      </c>
      <c r="C23" t="inlineStr">
        <is>
          <t>x</t>
        </is>
      </c>
      <c r="D23" s="3" t="inlineStr">
        <is>
          <t>FIT-DERIVED (sealed 2026-08-14 refit): bAttention matches the transformer fit's quality on 23.7% of the params at 1T -&gt; x4.22 compute per token at equal quality. 84.2% at 1B, 55.2% at 10B, 36.2% at 100B. A projection of the two fits, not a measurement.</t>
        </is>
      </c>
    </row>
    <row r="24">
      <c r="A24" s="8" t="inlineStr">
        <is>
          <t>TODAY compute lever = blend x ratio</t>
        </is>
      </c>
      <c r="B24" s="29">
        <f>ServingTraining!$B$28*$B$23</f>
        <v/>
      </c>
      <c r="C24" t="inlineStr">
        <is>
          <t>x</t>
        </is>
      </c>
      <c r="D24" s="3" t="inlineStr">
        <is>
          <t>B3 (the FLOPs lever) points here by default.</t>
        </is>
      </c>
    </row>
    <row r="25">
      <c r="A25" t="inlineStr">
        <is>
          <t>CEILING compute lever</t>
        </is>
      </c>
      <c r="B25" s="28" t="n">
        <v>22.09</v>
      </c>
      <c r="C25" t="inlineStr">
        <is>
          <t>x</t>
        </is>
      </c>
      <c r="D25" s="3" t="inlineStr">
        <is>
          <t>Measured prefill x4.02 (bf16 parameter-matched, d512/1M, 2026-07-21) x 5.5 kernel-campaign speedup. Overtype B3 with =B25 to run the workbook at the ceiling (~41x cost-weighted).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8" customWidth="1" min="5" max="5"/>
  </cols>
  <sheetData>
    <row r="1">
      <c r="A1" s="1" t="inlineStr">
        <is>
          <t>SENSITIVITY (SpaceX) — TODAY vs CEILING vs live cost-weighted</t>
        </is>
      </c>
      <c r="B1" s="2" t="n"/>
      <c r="C1" s="2" t="n"/>
      <c r="D1" s="2" t="n"/>
      <c r="E1" s="2" t="n"/>
    </row>
    <row r="2">
      <c r="A2" s="8" t="inlineStr">
        <is>
          <t>Metric</t>
        </is>
      </c>
      <c r="B2" s="4" t="inlineStr">
        <is>
          <t>TODAY (~20x)</t>
        </is>
      </c>
      <c r="C2" s="4" t="inlineStr">
        <is>
          <t>CEILING (~41x)</t>
        </is>
      </c>
      <c r="D2" s="4" t="inlineStr">
        <is>
          <t>Cost-weighted (live)</t>
        </is>
      </c>
    </row>
    <row r="3">
      <c r="A3" t="inlineStr">
        <is>
          <t>Efficient acquisition ($B)</t>
        </is>
      </c>
      <c r="B3" s="19">
        <f>SpaceX!$B$12/(1/(Inputs!$B$4/Inputs!$B$2+(1-Inputs!$B$4)/Inputs!$B$24))</f>
        <v/>
      </c>
      <c r="C3" s="19">
        <f>SpaceX!$B$12/(1/(Inputs!$B$4/Inputs!$B$2+(1-Inputs!$B$4)/Inputs!$B$25))</f>
        <v/>
      </c>
      <c r="D3" s="19">
        <f>SpaceX!$B$12/(Inputs!$B$20)</f>
        <v/>
      </c>
    </row>
    <row r="4">
      <c r="A4" t="inlineStr">
        <is>
          <t>Capex avoided/yr ($B)</t>
        </is>
      </c>
      <c r="B4" s="19">
        <f>SpaceX!$B$12-SpaceX!$B$12/(1/(Inputs!$B$4/Inputs!$B$2+(1-Inputs!$B$4)/Inputs!$B$24))</f>
        <v/>
      </c>
      <c r="C4" s="19">
        <f>SpaceX!$B$12-SpaceX!$B$12/(1/(Inputs!$B$4/Inputs!$B$2+(1-Inputs!$B$4)/Inputs!$B$25))</f>
        <v/>
      </c>
      <c r="D4" s="19">
        <f>SpaceX!$B$12-SpaceX!$B$12/(Inputs!$B$20)</f>
        <v/>
      </c>
    </row>
    <row r="5">
      <c r="A5" t="inlineStr">
        <is>
          <t>Annual opex savings ($M)</t>
        </is>
      </c>
      <c r="B5" s="5">
        <f>SpaceX!$B$26</f>
        <v/>
      </c>
      <c r="C5" s="5">
        <f>SpaceX!$B$26</f>
        <v/>
      </c>
      <c r="D5" s="5">
        <f>SpaceX!$B$26</f>
        <v/>
      </c>
    </row>
    <row r="6">
      <c r="A6" t="inlineStr">
        <is>
          <t>Sustained annual benefit ($B)</t>
        </is>
      </c>
      <c r="B6" s="19">
        <f>(SpaceX!$B$12-SpaceX!$B$12/(1/(Inputs!$B$4/Inputs!$B$2+(1-Inputs!$B$4)/Inputs!$B$24)))+SpaceX!$B$26/1000</f>
        <v/>
      </c>
      <c r="C6" s="19">
        <f>(SpaceX!$B$12-SpaceX!$B$12/(1/(Inputs!$B$4/Inputs!$B$2+(1-Inputs!$B$4)/Inputs!$B$25)))+SpaceX!$B$26/1000</f>
        <v/>
      </c>
      <c r="D6" s="19">
        <f>(SpaceX!$B$12-SpaceX!$B$12/(Inputs!$B$20))+SpaceX!$B$26/1000</f>
        <v/>
      </c>
    </row>
    <row r="7">
      <c r="A7" t="inlineStr">
        <is>
          <t>Capitalized value ($B)</t>
        </is>
      </c>
      <c r="B7" s="18">
        <f>((SpaceX!$B$12-SpaceX!$B$12/(1/(Inputs!$B$4/Inputs!$B$2+(1-Inputs!$B$4)/Inputs!$B$24)))+SpaceX!$B$26/1000)/Inputs!$B$6</f>
        <v/>
      </c>
      <c r="C7" s="18">
        <f>((SpaceX!$B$12-SpaceX!$B$12/(1/(Inputs!$B$4/Inputs!$B$2+(1-Inputs!$B$4)/Inputs!$B$25)))+SpaceX!$B$26/1000)/Inputs!$B$6</f>
        <v/>
      </c>
      <c r="D7" s="18">
        <f>((SpaceX!$B$12-SpaceX!$B$12/(Inputs!$B$20))+SpaceX!$B$26/1000)/Inputs!$B$6</f>
        <v/>
      </c>
    </row>
    <row r="8">
      <c r="A8" t="inlineStr">
        <is>
          <t>% of market cap</t>
        </is>
      </c>
      <c r="B8" s="21">
        <f>(((SpaceX!$B$12-SpaceX!$B$12/(1/(Inputs!$B$4/Inputs!$B$2+(1-Inputs!$B$4)/Inputs!$B$24)))+SpaceX!$B$26/1000)/Inputs!$B$6)/Inputs!$B$12</f>
        <v/>
      </c>
      <c r="C8" s="21">
        <f>(((SpaceX!$B$12-SpaceX!$B$12/(1/(Inputs!$B$4/Inputs!$B$2+(1-Inputs!$B$4)/Inputs!$B$25)))+SpaceX!$B$26/1000)/Inputs!$B$6)/Inputs!$B$12</f>
        <v/>
      </c>
      <c r="D8" s="21">
        <f>(((SpaceX!$B$12-SpaceX!$B$12/(Inputs!$B$20))+SpaceX!$B$26/1000)/Inputs!$B$6)/Inputs!$B$12</f>
        <v/>
      </c>
    </row>
    <row r="10">
      <c r="A10" s="3" t="inlineStr">
        <is>
          <t>Base = SpaceX accelerator capex (SpaceX!B12), not total capex. The 'Cost-weighted' column ties to the SpaceX tab (B25/B27) at the conservative dc_scale=0.</t>
        </is>
      </c>
    </row>
  </sheetData>
  <mergeCells count="1">
    <mergeCell ref="A10:E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34" customWidth="1" min="1" max="1"/>
    <col width="11" customWidth="1" min="2" max="2"/>
    <col width="11" customWidth="1" min="3" max="3"/>
    <col width="62" customWidth="1" min="4" max="4"/>
  </cols>
  <sheetData>
    <row r="1">
      <c r="A1" s="1" t="inlineStr">
        <is>
          <t>COST LADDER — $/H100-equivalent GPU-hour (at scale). Green = market price; yellow = assumption.</t>
        </is>
      </c>
      <c r="B1" s="2" t="n"/>
      <c r="C1" s="2" t="n"/>
      <c r="D1" s="2" t="n"/>
    </row>
    <row r="2">
      <c r="A2" s="8" t="inlineStr">
        <is>
          <t>Procurement mode</t>
        </is>
      </c>
      <c r="B2" s="8" t="inlineStr">
        <is>
          <t>$/hr low</t>
        </is>
      </c>
      <c r="C2" s="8" t="inlineStr">
        <is>
          <t>$/hr high</t>
        </is>
      </c>
      <c r="D2" s="8" t="inlineStr">
        <is>
          <t>What's baked into the price</t>
        </is>
      </c>
    </row>
    <row r="3">
      <c r="A3" t="inlineStr">
        <is>
          <t>Own custom silicon (TPU/Trainium)</t>
        </is>
      </c>
      <c r="B3" s="30" t="n">
        <v>0.9</v>
      </c>
      <c r="C3" s="30" t="n">
        <v>1.4</v>
      </c>
      <c r="D3" s="3" t="inlineStr">
        <is>
          <t>COGS + modest Broadcom/Marvell margin + power + DC. NO NVIDIA margin.</t>
        </is>
      </c>
    </row>
    <row r="4">
      <c r="A4" t="inlineStr">
        <is>
          <t>Buy + operate NVIDIA (scale)</t>
        </is>
      </c>
      <c r="B4" s="30" t="n">
        <v>1.5</v>
      </c>
      <c r="C4" s="30" t="n">
        <v>2</v>
      </c>
      <c r="D4" s="3" t="inlineStr">
        <is>
          <t>NVIDIA ~84% gross margin baked into capex + power + DC.</t>
        </is>
      </c>
    </row>
    <row r="5">
      <c r="A5" t="inlineStr">
        <is>
          <t>Rent NVIDIA - neocloud / committed</t>
        </is>
      </c>
      <c r="B5" s="30" t="n">
        <v>2</v>
      </c>
      <c r="C5" s="30" t="n">
        <v>3.5</v>
      </c>
      <c r="D5" s="3" t="inlineStr">
        <is>
          <t>+ cloud provider capex recovery &amp; margin.</t>
        </is>
      </c>
    </row>
    <row r="6">
      <c r="A6" t="inlineStr">
        <is>
          <t>Rent NVIDIA - hyperscaler on-demand</t>
        </is>
      </c>
      <c r="B6" s="30" t="n">
        <v>3</v>
      </c>
      <c r="C6" s="30" t="n">
        <v>7</v>
      </c>
      <c r="D6" s="3" t="inlineStr">
        <is>
          <t>+ utilization risk + flexibility premium (new B200 to ~$14).</t>
        </is>
      </c>
    </row>
    <row r="8">
      <c r="A8" s="1" t="inlineStr">
        <is>
          <t>OWNED-NVIDIA TCO CROSS-CHECK (from Inputs)</t>
        </is>
      </c>
      <c r="B8" s="2" t="n"/>
      <c r="C8" s="2" t="n"/>
      <c r="D8" s="2" t="n"/>
    </row>
    <row r="9">
      <c r="A9" t="inlineStr">
        <is>
          <t>Utilization</t>
        </is>
      </c>
      <c r="B9" s="16" t="n">
        <v>0.85</v>
      </c>
    </row>
    <row r="10">
      <c r="A10" t="inlineStr">
        <is>
          <t>Capex $/hr</t>
        </is>
      </c>
      <c r="B10" s="19">
        <f>Inputs!$B$7/(Inputs!$B$11*8760*B9)</f>
        <v/>
      </c>
      <c r="D10" s="3" t="inlineStr">
        <is>
          <t>fully-loaded $/GPU / (life x 8760h x utilization)</t>
        </is>
      </c>
    </row>
    <row r="11">
      <c r="A11" t="inlineStr">
        <is>
          <t>Power $/hr</t>
        </is>
      </c>
      <c r="B11" s="19">
        <f>Inputs!$B$8*Inputs!$B$9</f>
        <v/>
      </c>
      <c r="D11" s="3" t="inlineStr">
        <is>
          <t>wall kW x $/kWh</t>
        </is>
      </c>
    </row>
    <row r="12">
      <c r="A12" t="inlineStr">
        <is>
          <t>DC/staff adder $/hr</t>
        </is>
      </c>
      <c r="B12" s="28" t="n">
        <v>0.3</v>
      </c>
    </row>
    <row r="13">
      <c r="A13" s="8" t="inlineStr">
        <is>
          <t>Owned TCO $/hr</t>
        </is>
      </c>
      <c r="B13" s="29">
        <f>B10+B11+B12</f>
        <v/>
      </c>
      <c r="D13" s="3" t="inlineStr">
        <is>
          <t>cross-checks the 'Buy + operate NVIDIA' row</t>
        </is>
      </c>
    </row>
    <row r="15">
      <c r="A15" s="3" t="inlineStr">
        <is>
          <t>MARGIN STACK: own-silicon -&gt; buy-NVIDIA ~1.4-2x (NVIDIA margin). buy -&gt; rent ~2-3.5x (cloud margin). own -&gt; rent ~3-5x.</t>
        </is>
      </c>
    </row>
    <row r="16">
      <c r="A16" s="3" t="inlineStr">
        <is>
          <t>B200 builds ~$6,400, sells ~$40,000 -&gt; ~84% gross margin. Hyperscalers charge 3-6x neocloud rates for identical HW.</t>
        </is>
      </c>
    </row>
    <row r="17">
      <c r="A17" s="3" t="inlineStr">
        <is>
          <t>OWN-SILICON: TPU/Trainium/MTIA cost ~1/3 less per useful FLOP than NVIDIA. The model values compute at each company's ACTUAL cost (no gross-up).</t>
        </is>
      </c>
    </row>
    <row r="18">
      <c r="A18" s="3" t="inlineStr">
        <is>
          <t>SemiAnalysis: TPU 20-50% lower TCO per useful FLOP vs GB200/GB300; Trainium3 ~30% better vs GB300.</t>
        </is>
      </c>
    </row>
    <row r="19">
      <c r="A19" s="3" t="inlineStr">
        <is>
          <t>Sources: Spheron/IntuitionLabs (rental), Silicon Analysts (B200 cost/margin), SemiAnalysis (TPU/Trainium TCO).</t>
        </is>
      </c>
    </row>
  </sheetData>
  <mergeCells count="5">
    <mergeCell ref="A17:D17"/>
    <mergeCell ref="A18:D18"/>
    <mergeCell ref="A15:D15"/>
    <mergeCell ref="A19:D19"/>
    <mergeCell ref="A16:D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9"/>
  <sheetViews>
    <sheetView workbookViewId="0">
      <selection activeCell="A1" sqref="A1"/>
    </sheetView>
  </sheetViews>
  <sheetFormatPr baseColWidth="8" defaultRowHeight="15"/>
  <cols>
    <col width="44" customWidth="1" min="1" max="1"/>
    <col width="42" customWidth="1" min="2" max="2"/>
    <col width="30" customWidth="1" min="3" max="3"/>
    <col width="14" customWidth="1" min="4" max="4"/>
    <col width="12" customWidth="1" min="5" max="5"/>
    <col width="60" customWidth="1" min="6" max="6"/>
  </cols>
  <sheetData>
    <row r="1">
      <c r="A1" s="1" t="inlineStr">
        <is>
          <t>SERVING &amp; TRAINING — measured 2026-08-07/08 (2/4/8 x H100), priced at the CostLadder rent mid ($2.50/GPU-hr). Source: bdm/docs/deck/build/derived.json (keys in ai_capex_model.MEASURED).</t>
        </is>
      </c>
      <c r="B1" s="2" t="n"/>
      <c r="C1" s="2" t="n"/>
      <c r="D1" s="2" t="n"/>
      <c r="E1" s="2" t="n"/>
      <c r="F1" s="2" t="n"/>
    </row>
    <row r="4">
      <c r="A4" s="1" t="inlineStr">
        <is>
          <t>WORKLOAD — edit the yellow cells; every sheet recomputes</t>
        </is>
      </c>
      <c r="B4" s="2" t="n"/>
      <c r="C4" s="2" t="n"/>
      <c r="D4" s="2" t="n"/>
      <c r="E4" s="2" t="n"/>
      <c r="F4" s="2" t="n"/>
    </row>
    <row r="5">
      <c r="A5" s="3" t="inlineStr">
        <is>
          <t>Training, prefill and decode point in opposite directions at today's kernel maturity, so the compute lever is blended over the workload rather than fixed. Cost per GENERATED token = in:out input tokens through prefill + one token through decode. Transformer decode follows the MEASURED 1/context law at its own KV ceiling (granted no KV compression by default; raise the KV-compression cell below to grant it a mature stack).</t>
        </is>
      </c>
    </row>
    <row r="7">
      <c r="A7" t="inlineStr">
        <is>
          <t>Input : output token ratio</t>
        </is>
      </c>
      <c r="B7" s="23" t="n">
        <v>10</v>
      </c>
      <c r="F7" s="3" t="inlineStr">
        <is>
          <t>~10:1 = code / reasoning / agent traces. 50-100:1 = RAG and document QA.</t>
        </is>
      </c>
    </row>
    <row r="8">
      <c r="A8" t="inlineStr">
        <is>
          <t>E[context] (tokens)</t>
        </is>
      </c>
      <c r="B8" s="25" t="n">
        <v>65536</v>
      </c>
      <c r="F8" s="3" t="inlineStr">
        <is>
          <t>Our decode cost is context-flat and the transformer's is linear, so the decode advantage is linear in this.</t>
        </is>
      </c>
    </row>
    <row r="9">
      <c r="A9" t="inlineStr">
        <is>
          <t>Training share of accelerator cost</t>
        </is>
      </c>
      <c r="B9" s="28" t="n">
        <v>0</v>
      </c>
      <c r="F9" s="3" t="inlineStr">
        <is>
          <t>0 = a serving-cost claim. Training is a LOSS at short sequence today; above ~0.06 the blend drops below 1.</t>
        </is>
      </c>
    </row>
    <row r="11">
      <c r="A11" s="8" t="inlineStr">
        <is>
          <t>Measured constants</t>
        </is>
      </c>
    </row>
    <row r="12">
      <c r="A12" t="inlineStr">
        <is>
          <t>Owned decode, tokens/s/box (context-flat)</t>
        </is>
      </c>
      <c r="B12" s="17" t="n">
        <v>4496.668604837461</v>
      </c>
    </row>
    <row r="13">
      <c r="A13" t="inlineStr">
        <is>
          <t>KV MB per token per stream</t>
        </is>
      </c>
      <c r="B13" s="31" t="n">
        <v>0.15234375</v>
      </c>
    </row>
    <row r="14">
      <c r="A14" t="inlineStr">
        <is>
          <t>HBM TB/s per GPU</t>
        </is>
      </c>
      <c r="B14" s="28" t="n">
        <v>3.35</v>
      </c>
    </row>
    <row r="15">
      <c r="A15" t="inlineStr">
        <is>
          <t>Transformer KV compression (mature stack)</t>
        </is>
      </c>
      <c r="B15" s="23" t="n">
        <v>1</v>
      </c>
    </row>
    <row r="16">
      <c r="A16" t="inlineStr">
        <is>
          <t>GPUs per box</t>
        </is>
      </c>
      <c r="B16" s="32" t="n">
        <v>8</v>
      </c>
    </row>
    <row r="17">
      <c r="A17" t="inlineStr">
        <is>
          <t>Training advantage, short sequence (owned / transformer)</t>
        </is>
      </c>
      <c r="B17" s="33" t="n">
        <v>0.1041666666666667</v>
      </c>
      <c r="F17" s="3" t="inlineStr">
        <is>
          <t>Transformer is 9.6x faster at T=2048 blocks (d1152). Crossover near T~88,000.</t>
        </is>
      </c>
    </row>
    <row r="19">
      <c r="A19" s="8" t="inlineStr">
        <is>
          <t>Derived</t>
        </is>
      </c>
    </row>
    <row r="20">
      <c r="A20" t="inlineStr">
        <is>
          <t>KV GB per stream</t>
        </is>
      </c>
      <c r="B20" s="19">
        <f>$B$8*$B$13/1024</f>
        <v/>
      </c>
    </row>
    <row r="21">
      <c r="A21" t="inlineStr">
        <is>
          <t>KV GB per stream, compressed</t>
        </is>
      </c>
      <c r="B21" s="34">
        <f>$B$20/$B$15</f>
        <v/>
      </c>
    </row>
    <row r="22">
      <c r="A22" t="inlineStr">
        <is>
          <t>Transformer decode, tokens/s/box</t>
        </is>
      </c>
      <c r="B22" s="18">
        <f>511.8416*32768/$B$8*$B$15*$B$16</f>
        <v/>
      </c>
      <c r="F22" s="3" t="inlineStr">
        <is>
          <t>MEASURED 1/context law (2026-08-14 re-base): 511.84 tok/s/GPU at 32,768 ctx x 32768/E[context] x KV-compression x GPUs. Crosses our flat 562/GPU near ~30k context.</t>
        </is>
      </c>
    </row>
    <row r="23">
      <c r="A23" t="inlineStr">
        <is>
          <t>Prefill table row (lookup)</t>
        </is>
      </c>
      <c r="B23" s="35">
        <f>MATCH($B$8,$A$33:$A$39,1)</f>
        <v/>
      </c>
    </row>
    <row r="24">
      <c r="A24" t="inlineStr">
        <is>
          <t>Prefill tokens/s/box — transformer</t>
        </is>
      </c>
      <c r="B24" s="18">
        <f>IF(INDEX($B$33:$B$39,MIN($B$23+1,7))=INDEX($B$33:$B$39,$B$23),INDEX($B$33:$B$39,$B$23),EXP(LN(INDEX($B$33:$B$39,$B$23))+(LN($B$8)-LN(INDEX($A$33:$A$39,$B$23)))/(LN(INDEX($A$33:$A$39,MIN($B$23+1,7)))-LN(INDEX($A$33:$A$39,$B$23)))*(LN(INDEX($B$33:$B$39,MIN($B$23+1,7)))-LN(INDEX($B$33:$B$39,$B$23)))))*$B$16</f>
        <v/>
      </c>
    </row>
    <row r="25">
      <c r="A25" t="inlineStr">
        <is>
          <t>Prefill tokens/s/box — owned</t>
        </is>
      </c>
      <c r="B25" s="18">
        <f>IF(INDEX($C$33:$C$39,MIN($B$23+1,7))=INDEX($C$33:$C$39,$B$23),INDEX($C$33:$C$39,$B$23),EXP(LN(INDEX($C$33:$C$39,$B$23))+(LN($B$8)-LN(INDEX($A$33:$A$39,$B$23)))/(LN(INDEX($A$33:$A$39,MIN($B$23+1,7)))-LN(INDEX($A$33:$A$39,$B$23)))*(LN(INDEX($C$33:$C$39,MIN($B$23+1,7)))-LN(INDEX($C$33:$C$39,$B$23)))))*$B$16</f>
        <v/>
      </c>
    </row>
    <row r="26">
      <c r="A26" t="inlineStr">
        <is>
          <t>Transformer seconds per generated token</t>
        </is>
      </c>
      <c r="B26" s="36">
        <f>$B$7/$B$24+1/$B$22</f>
        <v/>
      </c>
    </row>
    <row r="27">
      <c r="A27" t="inlineStr">
        <is>
          <t>Owned seconds per generated token</t>
        </is>
      </c>
      <c r="B27" s="36">
        <f>$B$7/$B$25+1/$B$12</f>
        <v/>
      </c>
    </row>
    <row r="28">
      <c r="A28" s="8" t="inlineStr">
        <is>
          <t>BLENDED COMPUTE LEVER (flop_factor)</t>
        </is>
      </c>
      <c r="B28" s="29">
        <f>IF($B$9&gt;0,1/($B$9/$B$17+(1-$B$9)/($B$26/$B$27)),$B$26/$B$27)</f>
        <v/>
      </c>
      <c r="F28" s="3" t="inlineStr">
        <is>
          <t>Inputs!B24 (TODAY lever) = this x the equal-quality parameter ratio; Inputs!B3 follows it, so this drives the whole workbook.</t>
        </is>
      </c>
    </row>
    <row r="29">
      <c r="A29" t="inlineStr">
        <is>
          <t xml:space="preserve">  of which: prefill advantage</t>
        </is>
      </c>
      <c r="B29" s="19">
        <f>($B$7/$B$24)/($B$7/$B$25)</f>
        <v/>
      </c>
    </row>
    <row r="30">
      <c r="A30" t="inlineStr">
        <is>
          <t xml:space="preserve">  of which: decode advantage</t>
        </is>
      </c>
      <c r="B30" s="37">
        <f>(1/$B$22)/(1/$B$12)</f>
        <v/>
      </c>
    </row>
    <row r="32">
      <c r="A32" s="8" t="inlineStr">
        <is>
          <t>Measured prefill throughput, tokens/s/GPU (bf16 saturated lane, d2048)</t>
        </is>
      </c>
      <c r="D32" s="38" t="inlineStr">
        <is>
          <t>Context</t>
        </is>
      </c>
      <c r="E32" s="38" t="inlineStr">
        <is>
          <t>Transformer</t>
        </is>
      </c>
      <c r="F32" s="38" t="inlineStr">
        <is>
          <t>Owned</t>
        </is>
      </c>
    </row>
    <row r="33">
      <c r="A33" s="39" t="n">
        <v>2048</v>
      </c>
      <c r="B33" s="17" t="n">
        <v>4682606.88285999</v>
      </c>
      <c r="C33" s="17" t="n">
        <v>1185825</v>
      </c>
    </row>
    <row r="34">
      <c r="A34" s="39" t="n">
        <v>8192</v>
      </c>
      <c r="B34" s="17" t="n">
        <v>3450080</v>
      </c>
      <c r="C34" s="17" t="n">
        <v>1183690</v>
      </c>
    </row>
    <row r="35">
      <c r="A35" s="39" t="n">
        <v>32768</v>
      </c>
      <c r="B35" s="17" t="n">
        <v>1711802</v>
      </c>
      <c r="C35" s="17" t="n">
        <v>1186661</v>
      </c>
    </row>
    <row r="36">
      <c r="A36" s="39" t="n">
        <v>65536</v>
      </c>
      <c r="B36" s="17" t="n">
        <v>1007187</v>
      </c>
      <c r="C36" s="17" t="n">
        <v>1181622</v>
      </c>
    </row>
    <row r="37">
      <c r="A37" s="39" t="n">
        <v>131072</v>
      </c>
      <c r="B37" s="17" t="n">
        <v>541094</v>
      </c>
      <c r="C37" s="17" t="n">
        <v>978107</v>
      </c>
    </row>
    <row r="38">
      <c r="A38" s="39" t="n">
        <v>262144</v>
      </c>
      <c r="B38" s="17" t="n">
        <v>277474</v>
      </c>
      <c r="C38" s="17" t="n">
        <v>726142</v>
      </c>
    </row>
    <row r="39">
      <c r="A39" s="39" t="n">
        <v>524288</v>
      </c>
      <c r="B39" s="17" t="n">
        <v>140820</v>
      </c>
      <c r="C39" s="17" t="n">
        <v>478522</v>
      </c>
    </row>
    <row r="41">
      <c r="A41" s="3" t="inlineStr">
        <is>
          <t>SCOPE: the serving and training blocks below are component-scope systems benches (bAttention d1536 fwd+bwd h-recurrence sub-block vs transformer d2048 forward-only layer); every speedup there is each family vs its OWN 1-GPU baseline. The prefill lanes quoted further down are cross-family: bf16 parameter-matched at block scope, and fp32 at full-model scope.</t>
        </is>
      </c>
    </row>
    <row r="43">
      <c r="A43" s="1" t="inlineStr">
        <is>
          <t>Serving at long context — $/1M generated tokens, one 8xH100 box</t>
        </is>
      </c>
      <c r="B43" s="2" t="n"/>
      <c r="C43" s="2" t="n"/>
      <c r="D43" s="2" t="n"/>
      <c r="E43" s="2" t="n"/>
      <c r="F43" s="2" t="n"/>
    </row>
    <row r="44">
      <c r="A44" s="38" t="inlineStr">
        <is>
          <t>Context (tokens)</t>
        </is>
      </c>
      <c r="B44" s="38" t="inlineStr">
        <is>
          <t>bAttention $/1M tok</t>
        </is>
      </c>
      <c r="C44" s="38" t="inlineStr">
        <is>
          <t>Transformer $/1M tok (mature stack)</t>
        </is>
      </c>
      <c r="D44" s="38" t="inlineStr">
        <is>
          <t>TF streams/GPU</t>
        </is>
      </c>
      <c r="E44" s="38" t="inlineStr">
        <is>
          <t>Cost ratio</t>
        </is>
      </c>
      <c r="F44" s="38" t="inlineStr">
        <is>
          <t>Note</t>
        </is>
      </c>
    </row>
    <row r="45">
      <c r="A45" s="39" t="n">
        <v>4096</v>
      </c>
      <c r="B45" s="40" t="n">
        <v>1.235482541359387</v>
      </c>
      <c r="C45" s="41" t="n">
        <v>0.1695945640120853</v>
      </c>
      <c r="D45" s="35" t="n">
        <v>118</v>
      </c>
      <c r="E45" s="42" t="n">
        <v>0.1372698992779634</v>
      </c>
      <c r="F45" s="43" t="inlineStr"/>
    </row>
    <row r="46">
      <c r="A46" s="39" t="n">
        <v>16384</v>
      </c>
      <c r="B46" s="40" t="n">
        <v>1.235482541359387</v>
      </c>
      <c r="C46" s="41" t="n">
        <v>0.678378256048341</v>
      </c>
      <c r="D46" s="35" t="n">
        <v>29</v>
      </c>
      <c r="E46" s="42" t="n">
        <v>0.5490795971118535</v>
      </c>
      <c r="F46" s="43" t="inlineStr"/>
    </row>
    <row r="47">
      <c r="A47" s="39" t="n">
        <v>32768</v>
      </c>
      <c r="B47" s="40" t="n">
        <v>1.235482541359387</v>
      </c>
      <c r="C47" s="41" t="n">
        <v>1.356756512096682</v>
      </c>
      <c r="D47" s="35" t="n">
        <v>14</v>
      </c>
      <c r="E47" s="42" t="n">
        <v>1.098159194223707</v>
      </c>
      <c r="F47" s="43" t="inlineStr"/>
    </row>
    <row r="48">
      <c r="A48" s="39" t="n">
        <v>65536</v>
      </c>
      <c r="B48" s="40" t="n">
        <v>1.235482541359387</v>
      </c>
      <c r="C48" s="41" t="n">
        <v>2.713513024193364</v>
      </c>
      <c r="D48" s="35" t="n">
        <v>7</v>
      </c>
      <c r="E48" s="42" t="n">
        <v>2.196318388447414</v>
      </c>
      <c r="F48" s="43" t="inlineStr"/>
    </row>
    <row r="49">
      <c r="A49" s="39" t="n">
        <v>131072</v>
      </c>
      <c r="B49" s="40" t="n">
        <v>1.235482541359387</v>
      </c>
      <c r="C49" s="41" t="n">
        <v>5.427026048386728</v>
      </c>
      <c r="D49" s="35" t="n">
        <v>3</v>
      </c>
      <c r="E49" s="42" t="n">
        <v>4.392636776894828</v>
      </c>
      <c r="F49" s="43" t="inlineStr"/>
    </row>
    <row r="50">
      <c r="A50" s="39" t="n">
        <v>262144</v>
      </c>
      <c r="B50" s="40" t="n">
        <v>1.235482541359387</v>
      </c>
      <c r="C50" s="41" t="n">
        <v>10.85405209677346</v>
      </c>
      <c r="D50" s="35" t="n">
        <v>1</v>
      </c>
      <c r="E50" s="42" t="n">
        <v>8.785273553789656</v>
      </c>
      <c r="F50" s="43" t="inlineStr">
        <is>
          <t>a measured decode cell (64 streams/GPU against the transformer 1)</t>
        </is>
      </c>
    </row>
    <row r="51">
      <c r="A51" s="39" t="n">
        <v>1048576</v>
      </c>
      <c r="B51" s="44" t="n">
        <v>1.235482541359387</v>
      </c>
      <c r="C51" s="41" t="n">
        <v/>
      </c>
      <c r="D51" s="35" t="n">
        <v>0</v>
      </c>
      <c r="E51" s="42" t="n">
        <v/>
      </c>
      <c r="F51" s="43" t="inlineStr">
        <is>
          <t>bAttention rate extrapolated past 262k (flatness measured 4k-262k)</t>
        </is>
      </c>
    </row>
    <row r="52">
      <c r="A52" s="3" t="inlineStr">
        <is>
          <t>RE-BASED 2026-08-14 on the full-model decode receipt: per-GPU aggregate throughput at each family's own concurrency ceiling, transformer granted no KV compression. Ratio ~ context/29,800, so the TRANSFORMER is ahead below ~30k context; x2.2 at 64k, x8.8 at 262k. Memory-ceiling result, not a per-token one - at one stream and 64k the transformer decodes a token faster than we do. Granting it KV /8: x1.1 at 262k.</t>
        </is>
      </c>
    </row>
    <row r="54">
      <c r="A54" s="1" t="inlineStr">
        <is>
          <t>Training at scale — same cluster, more steps/s</t>
        </is>
      </c>
      <c r="B54" s="2" t="n"/>
      <c r="C54" s="2" t="n"/>
      <c r="D54" s="2" t="n"/>
      <c r="E54" s="2" t="n"/>
      <c r="F54" s="2" t="n"/>
    </row>
    <row r="55">
      <c r="A55" s="38" t="inlineStr">
        <is>
          <t>Metric</t>
        </is>
      </c>
      <c r="B55" s="38" t="inlineStr">
        <is>
          <t>Value</t>
        </is>
      </c>
      <c r="C55" s="38" t="inlineStr">
        <is>
          <t>Ratio / consequence</t>
        </is>
      </c>
      <c r="D55" s="38" t="inlineStr"/>
      <c r="E55" s="38" t="inlineStr"/>
      <c r="F55" s="38" t="inlineStr">
        <is>
          <t>Status — derived.json key</t>
        </is>
      </c>
    </row>
    <row r="56">
      <c r="A56" s="45" t="inlineStr">
        <is>
          <t>8-GPU speedup, matched load (16 in flight)</t>
        </is>
      </c>
      <c r="B56" s="46" t="inlineStr">
        <is>
          <t>x5.15 fwd+bwd vs x3.70 fwd-only Ulysses best</t>
        </is>
      </c>
      <c r="C56" s="47" t="inlineStr">
        <is>
          <t>x1.39 cluster throughput</t>
        </is>
      </c>
      <c r="F56" s="43" t="inlineStr">
        <is>
          <t>MEASURED — matched_load_curve</t>
        </is>
      </c>
    </row>
    <row r="57">
      <c r="A57" s="45" t="inlineStr">
        <is>
          <t>8-GPU speedup, deep load (256 in flight)</t>
        </is>
      </c>
      <c r="B57" s="46" t="inlineStr">
        <is>
          <t>x6.27 (pipeline keeps filling; TF saturated by 16)</t>
        </is>
      </c>
      <c r="C57" s="47" t="inlineStr">
        <is>
          <t>x1.70</t>
        </is>
      </c>
      <c r="F57" s="43" t="inlineStr">
        <is>
          <t>MEASURED — scaling_1to8_best</t>
        </is>
      </c>
    </row>
    <row r="58">
      <c r="A58" s="45" t="inlineStr">
        <is>
          <t>GPU-hours for the same training work</t>
        </is>
      </c>
      <c r="B58" s="48" t="inlineStr">
        <is>
          <t>-28% (matched) … -41% (deep)</t>
        </is>
      </c>
      <c r="C58" s="45" t="inlineStr"/>
      <c r="F58" s="43" t="inlineStr">
        <is>
          <t>derived</t>
        </is>
      </c>
    </row>
    <row r="59">
      <c r="A59" s="45" t="inlineStr">
        <is>
          <t>64k-token sequence on one 80 GB GPU</t>
        </is>
      </c>
      <c r="B59" s="46" t="inlineStr">
        <is>
          <t>30.9 GB fits vs OOM (78.4 GB attempted)</t>
        </is>
      </c>
      <c r="C59" s="45" t="inlineStr"/>
      <c r="F59" s="43" t="inlineStr">
        <is>
          <t>MEASURED — pipeline_feasibility</t>
        </is>
      </c>
    </row>
    <row r="60">
      <c r="A60" s="45" t="inlineStr">
        <is>
          <t>Pipeline per-GPU peak (flat in load)</t>
        </is>
      </c>
      <c r="B60" s="46" t="inlineStr">
        <is>
          <t>9.05 GB vs 43.3 GB GPipe stage</t>
        </is>
      </c>
      <c r="C60" s="47" t="inlineStr">
        <is>
          <t>x4.8 (component-scope, width-unmatched)</t>
        </is>
      </c>
      <c r="F60" s="43" t="inlineStr">
        <is>
          <t>MEASURED — pipeline_memory_asymmetry</t>
        </is>
      </c>
    </row>
    <row r="61">
      <c r="A61" s="45" t="inlineStr">
        <is>
          <t>Params for equal quality at 70B</t>
        </is>
      </c>
      <c r="B61" s="49" t="inlineStr">
        <is>
          <t>x4.1 [2.2-7.7] transformer</t>
        </is>
      </c>
      <c r="C61" s="45" t="inlineStr"/>
      <c r="F61" s="43" t="inlineStr">
        <is>
          <t>PROJECTION — quality_fit.ref_70B</t>
        </is>
      </c>
    </row>
    <row r="62">
      <c r="A62" s="45" t="inlineStr">
        <is>
          <t>Tokens for equal quality at 70B</t>
        </is>
      </c>
      <c r="B62" s="49" t="inlineStr">
        <is>
          <t>x1.68 [1.33-2.10] (beta=0.28 assumption)</t>
        </is>
      </c>
      <c r="C62" s="45" t="inlineStr"/>
      <c r="F62" s="43" t="inlineStr">
        <is>
          <t>PROJECTION — quality_fit.ref_70B</t>
        </is>
      </c>
    </row>
    <row r="63">
      <c r="A63" s="45" t="inlineStr">
        <is>
          <t>Stepped vs scanned training</t>
        </is>
      </c>
      <c r="B63" s="46" t="inlineStr">
        <is>
          <t>x24 cost to step the recurrence token-by-token</t>
        </is>
      </c>
      <c r="C63" s="45" t="inlineStr"/>
      <c r="F63" s="43" t="inlineStr">
        <is>
          <t>MEASURED — stepped_vs_scanned</t>
        </is>
      </c>
    </row>
    <row r="65">
      <c r="A65" s="1" t="inlineStr">
        <is>
          <t>The compute lever — blended over the workload (sets flop_factor)</t>
        </is>
      </c>
      <c r="B65" s="2" t="n"/>
      <c r="C65" s="2" t="n"/>
      <c r="D65" s="2" t="n"/>
      <c r="E65" s="2" t="n"/>
      <c r="F65" s="2" t="n"/>
    </row>
    <row r="66">
      <c r="A66" s="3" t="inlineStr">
        <is>
          <t>Training, prefill and decode point in OPPOSITE directions at today's kernel maturity, so a single number cannot represent them. Training is a loss at short sequence (transformer 5.3-9.6x faster at T=2048 blocks; FLOPs near-matched at 1.07-1.19x, the gap is achieved FLOP/s 200.9 vs 21.7 TF/s; crossover near T~88,000). Prefill crosses over near 65k context. Decode crosses in our favour near ~30k context. The lever is therefore blended over the workload: per generated token, in:out input tokens through prefill plus one token through decode, using measured per-GPU throughput at each family's own concurrency ceiling, the transformer granted no KV compression. At the default operating point (10:1, 64k context, training share 0): prefill x1.17, decode x2.20, blended x2.19, with decode ~99.7% of transformer serving cost. The decode half is a MEMORY CEILING, not a per-token result - at one stream and 64k the transformer decodes a token more cheaply than we do - and it crosses 1 at ~30k context, below which the transformer wins. Granting it KV/8 divides our decode lever by 8. A training share above ~0.06 also takes the blend below 1. All are reachable in the live model.</t>
        </is>
      </c>
    </row>
    <row r="68">
      <c r="A68" s="3" t="inlineStr">
        <is>
          <t>The prefill component itself exists in two lanes, both shown below. It comes from the bf16 lane, where both families run their production attention kernels (there is no fp32 FlashAttention kernel). BF16 LANE: parameter counts exactly matched, 1 layer, batch 16, 1 x H100 80GB HBM3, 2026-07-21 — x4.02 at d512/1M, x3.83 at d1024/1M, x2.01 at d2048/262k. Receipts: experiments/paper_figures/output/matched_d{512,1024,2048}_h100.json</t>
        </is>
      </c>
    </row>
    <row r="70">
      <c r="A70" s="38" t="inlineStr">
        <is>
          <t>Context (tokens)</t>
        </is>
      </c>
      <c r="B70" s="38" t="inlineStr">
        <is>
          <t>Transformer ms</t>
        </is>
      </c>
      <c r="C70" s="38" t="inlineStr">
        <is>
          <t>bAttention ms</t>
        </is>
      </c>
      <c r="D70" s="38" t="inlineStr">
        <is>
          <t>TF / bAttention</t>
        </is>
      </c>
      <c r="E70" s="38" t="inlineStr"/>
      <c r="F70" s="38" t="inlineStr">
        <is>
          <t>Lane / note</t>
        </is>
      </c>
    </row>
    <row r="71">
      <c r="A71" s="39" t="n">
        <v>2048</v>
      </c>
      <c r="B71" s="5" t="n">
        <v>111.229</v>
      </c>
      <c r="C71" s="14" t="n">
        <v>663.1130000000001</v>
      </c>
      <c r="D71" s="50" t="n">
        <v>0.16773762541226</v>
      </c>
      <c r="F71" s="43" t="inlineStr">
        <is>
          <t>bf16 (lever) — transformer ahead</t>
        </is>
      </c>
    </row>
    <row r="72">
      <c r="A72" s="39" t="n">
        <v>4096</v>
      </c>
      <c r="B72" s="5" t="n">
        <v>125.091</v>
      </c>
      <c r="C72" s="14" t="n">
        <v>662.751</v>
      </c>
      <c r="D72" s="50" t="n">
        <v>0.1887450943114382</v>
      </c>
      <c r="F72" s="43" t="inlineStr">
        <is>
          <t>bf16 (lever) — transformer ahead</t>
        </is>
      </c>
    </row>
    <row r="73">
      <c r="A73" s="39" t="n">
        <v>8192</v>
      </c>
      <c r="B73" s="5" t="n">
        <v>153.085</v>
      </c>
      <c r="C73" s="14" t="n">
        <v>663.327</v>
      </c>
      <c r="D73" s="50" t="n">
        <v>0.2307836104967836</v>
      </c>
      <c r="F73" s="43" t="inlineStr">
        <is>
          <t>bf16 (lever) — transformer ahead</t>
        </is>
      </c>
    </row>
    <row r="74">
      <c r="A74" s="39" t="n">
        <v>16384</v>
      </c>
      <c r="B74" s="5" t="n">
        <v>204.919</v>
      </c>
      <c r="C74" s="14" t="n">
        <v>663.202</v>
      </c>
      <c r="D74" s="50" t="n">
        <v>0.3089842913622094</v>
      </c>
      <c r="F74" s="43" t="inlineStr">
        <is>
          <t>bf16 (lever) — transformer ahead</t>
        </is>
      </c>
    </row>
    <row r="75">
      <c r="A75" s="39" t="n">
        <v>32768</v>
      </c>
      <c r="B75" s="5" t="n">
        <v>309.886</v>
      </c>
      <c r="C75" s="14" t="n">
        <v>662.6180000000001</v>
      </c>
      <c r="D75" s="50" t="n">
        <v>0.4676691547769605</v>
      </c>
      <c r="F75" s="43" t="inlineStr">
        <is>
          <t>bf16 (lever) — transformer ahead</t>
        </is>
      </c>
    </row>
    <row r="76">
      <c r="A76" s="39" t="n">
        <v>65536</v>
      </c>
      <c r="B76" s="5" t="n">
        <v>520.986</v>
      </c>
      <c r="C76" s="14" t="n">
        <v>663.199</v>
      </c>
      <c r="D76" s="50" t="n">
        <v>0.7855651169558459</v>
      </c>
      <c r="F76" s="43" t="inlineStr">
        <is>
          <t>bf16 (lever) — transformer ahead</t>
        </is>
      </c>
    </row>
    <row r="77">
      <c r="A77" s="39" t="n">
        <v>131072</v>
      </c>
      <c r="B77" s="5" t="n">
        <v>969.79</v>
      </c>
      <c r="C77" s="14" t="n">
        <v>753.457</v>
      </c>
      <c r="D77" s="50" t="n">
        <v>1.287120565606265</v>
      </c>
      <c r="F77" s="43" t="inlineStr">
        <is>
          <t>bf16 (lever)</t>
        </is>
      </c>
    </row>
    <row r="78">
      <c r="A78" s="39" t="n">
        <v>262144</v>
      </c>
      <c r="B78" s="5" t="n">
        <v>1889.616</v>
      </c>
      <c r="C78" s="14" t="n">
        <v>938.175</v>
      </c>
      <c r="D78" s="50" t="n">
        <v>2.014140219042289</v>
      </c>
      <c r="F78" s="43" t="inlineStr">
        <is>
          <t>bf16 (lever)</t>
        </is>
      </c>
    </row>
    <row r="79">
      <c r="A79" s="39" t="n">
        <v>524288</v>
      </c>
      <c r="B79" s="5" t="n">
        <v>3718.717</v>
      </c>
      <c r="C79" s="14" t="n">
        <v>1308.837</v>
      </c>
      <c r="D79" s="50" t="n">
        <v>2.841237678947035</v>
      </c>
      <c r="F79" s="43" t="inlineStr">
        <is>
          <t>bf16 (lever)</t>
        </is>
      </c>
    </row>
    <row r="80">
      <c r="A80" s="39" t="n">
        <v>512</v>
      </c>
      <c r="B80" s="5" t="n">
        <v>6.578</v>
      </c>
      <c r="C80" s="15" t="n">
        <v>61.216</v>
      </c>
      <c r="D80" s="50" t="n">
        <v>0.1074555671719812</v>
      </c>
      <c r="F80" s="43" t="inlineStr">
        <is>
          <t>fp32 (full model) — transformer ahead</t>
        </is>
      </c>
    </row>
    <row r="81">
      <c r="A81" s="39" t="n">
        <v>1024</v>
      </c>
      <c r="B81" s="5" t="n">
        <v>12.611</v>
      </c>
      <c r="C81" s="15" t="n">
        <v>86.66</v>
      </c>
      <c r="D81" s="50" t="n">
        <v>0.145522732517886</v>
      </c>
      <c r="F81" s="43" t="inlineStr">
        <is>
          <t>fp32 (full model) — transformer ahead</t>
        </is>
      </c>
    </row>
    <row r="82">
      <c r="A82" s="39" t="n">
        <v>2048</v>
      </c>
      <c r="B82" s="5" t="n">
        <v>27.856</v>
      </c>
      <c r="C82" s="15" t="n">
        <v>160.738</v>
      </c>
      <c r="D82" s="50" t="n">
        <v>0.1733006507484229</v>
      </c>
      <c r="F82" s="43" t="inlineStr">
        <is>
          <t>fp32 (full model) — transformer ahead</t>
        </is>
      </c>
    </row>
    <row r="83">
      <c r="A83" s="39" t="n">
        <v>4096</v>
      </c>
      <c r="B83" s="5" t="n">
        <v>70.339</v>
      </c>
      <c r="C83" s="15" t="n">
        <v>305.622</v>
      </c>
      <c r="D83" s="50" t="n">
        <v>0.2301503164039238</v>
      </c>
      <c r="F83" s="43" t="inlineStr">
        <is>
          <t>fp32 (full model) — transformer ahead</t>
        </is>
      </c>
    </row>
    <row r="84">
      <c r="A84" s="39" t="n">
        <v>8192</v>
      </c>
      <c r="B84" s="5" t="n">
        <v>207.758</v>
      </c>
      <c r="C84" s="15" t="n">
        <v>595.671</v>
      </c>
      <c r="D84" s="50" t="n">
        <v>0.3487797794420074</v>
      </c>
      <c r="F84" s="43" t="inlineStr">
        <is>
          <t>fp32 (full model) — transformer ahead</t>
        </is>
      </c>
    </row>
    <row r="85">
      <c r="A85" s="39" t="n">
        <v>16384</v>
      </c>
      <c r="B85" s="5" t="n">
        <v>686.813</v>
      </c>
      <c r="C85" s="15" t="n">
        <v>1177.361</v>
      </c>
      <c r="D85" s="50" t="n">
        <v>0.5833495418992135</v>
      </c>
      <c r="F85" s="43" t="inlineStr">
        <is>
          <t>fp32 (full model) — transformer ahead</t>
        </is>
      </c>
    </row>
    <row r="86">
      <c r="A86" s="39" t="n">
        <v>32768</v>
      </c>
      <c r="B86" s="5" t="n">
        <v>2518.562</v>
      </c>
      <c r="C86" s="15" t="n">
        <v>2359.638</v>
      </c>
      <c r="D86" s="50" t="n">
        <v>1.067351008925945</v>
      </c>
      <c r="F86" s="43" t="inlineStr">
        <is>
          <t>fp32 (full model)</t>
        </is>
      </c>
    </row>
    <row r="87">
      <c r="A87" s="39" t="n">
        <v>65536</v>
      </c>
      <c r="B87" s="5" t="n">
        <v>9629.459000000001</v>
      </c>
      <c r="C87" s="15" t="n">
        <v>4704.054</v>
      </c>
      <c r="D87" s="50" t="n">
        <v>2.047055369687508</v>
      </c>
      <c r="F87" s="43" t="inlineStr">
        <is>
          <t>fp32 (full model)</t>
        </is>
      </c>
    </row>
    <row r="88">
      <c r="A88" s="39" t="n">
        <v>131072</v>
      </c>
      <c r="B88" s="5" t="n">
        <v>37690.932</v>
      </c>
      <c r="C88" s="15" t="n">
        <v>9432.108</v>
      </c>
      <c r="D88" s="50" t="n">
        <v>3.996024218552205</v>
      </c>
      <c r="F88" s="43" t="inlineStr">
        <is>
          <t>fp32 (full model)</t>
        </is>
      </c>
    </row>
    <row r="89">
      <c r="A89" s="39" t="n">
        <v>262144</v>
      </c>
      <c r="B89" s="5" t="n">
        <v>149366.343</v>
      </c>
      <c r="C89" s="15" t="n">
        <v>18888.452</v>
      </c>
      <c r="D89" s="50" t="n">
        <v>7.907812826588436</v>
      </c>
      <c r="F89" s="43" t="inlineStr">
        <is>
          <t>fp32 (full model)</t>
        </is>
      </c>
    </row>
    <row r="90">
      <c r="A90" s="3" t="inlineStr">
        <is>
          <t>Both blocks are d2048, so the lanes are directly comparable: 2.01x in bf16 against 7.91x in fp32 at 262k. The fp32 lane is full-model scope (24 layers, batch 1) and its receipt records FLASH_ATTENTION and CUDNN_ATTENTION as 'rejected: No available kernel', with the owned arm's route attestation reading dtype_mix io=fp32,bf_col=fp16; its params differ by 16.7%. Full model in bf16 has not been run. Receipt: experiments/paper_figures/output/deck_speed_scaling_d2048_h100_20260803.json</t>
        </is>
      </c>
    </row>
    <row r="92">
      <c r="A92" s="1" t="inlineStr">
        <is>
          <t>16-bit IO in training</t>
        </is>
      </c>
      <c r="B92" s="2" t="n"/>
      <c r="C92" s="2" t="n"/>
      <c r="D92" s="2" t="n"/>
      <c r="E92" s="2" t="n"/>
      <c r="F92" s="2" t="n"/>
    </row>
    <row r="93">
      <c r="A93" s="3" t="inlineStr">
        <is>
          <t>A training step-time gate: same architecture on every row, only the IO dtype varies. d1536 / 27 layers / block 2048 / batch 32 / seed 1, 1 x GH200 480GB, GPU verified idle before each arm, steady state only. 0 skipped steps on all arms; verdict PASS_io16_SHIPS. Throughput and memory rows are d1536/L27; the val deltas come from the gate's smaller vehicle (width 512, 15 layers). This is why the production training lane is 16-bit; it is not an input to the compute lever above. Receipt: experiments/paper_figures/output/receipts/io16_gate_20260809.md</t>
        </is>
      </c>
    </row>
    <row r="95">
      <c r="A95" s="38" t="inlineStr">
        <is>
          <t>IO dtype</t>
        </is>
      </c>
      <c r="B95" s="38" t="inlineStr">
        <is>
          <t>s/step</t>
        </is>
      </c>
      <c r="C95" s="38" t="inlineStr">
        <is>
          <t>Speed vs fp32</t>
        </is>
      </c>
      <c r="D95" s="38" t="inlineStr">
        <is>
          <t>Peak allocated (GB)</t>
        </is>
      </c>
      <c r="E95" s="38" t="inlineStr">
        <is>
          <t>Memory vs fp32</t>
        </is>
      </c>
      <c r="F95" s="38" t="inlineStr">
        <is>
          <t>Val cost @601 steps</t>
        </is>
      </c>
    </row>
    <row r="96">
      <c r="A96" s="45" t="inlineStr">
        <is>
          <t>fp32</t>
        </is>
      </c>
      <c r="B96" s="33" t="n">
        <v>10.46</v>
      </c>
      <c r="C96" s="51" t="n">
        <v>1</v>
      </c>
      <c r="D96" s="26" t="n">
        <v>70.669921875</v>
      </c>
      <c r="E96" s="51" t="n">
        <v>1</v>
      </c>
      <c r="F96" s="45" t="inlineStr">
        <is>
          <t>baseline</t>
        </is>
      </c>
    </row>
    <row r="97">
      <c r="A97" s="45" t="inlineStr">
        <is>
          <t>fp16</t>
        </is>
      </c>
      <c r="B97" s="33" t="n">
        <v>8.827999999999999</v>
      </c>
      <c r="C97" s="51" t="n">
        <v>1.185</v>
      </c>
      <c r="D97" s="26" t="n">
        <v>58.2685546875</v>
      </c>
      <c r="E97" s="51" t="n">
        <v>0.825</v>
      </c>
      <c r="F97" s="45" t="inlineStr">
        <is>
          <t>+0.00128</t>
        </is>
      </c>
    </row>
    <row r="98">
      <c r="A98" s="45" t="inlineStr">
        <is>
          <t>bf16</t>
        </is>
      </c>
      <c r="B98" s="33" t="n">
        <v>8.930999999999999</v>
      </c>
      <c r="C98" s="51" t="n">
        <v>1.171</v>
      </c>
      <c r="D98" s="26" t="n">
        <v>56.10546875</v>
      </c>
      <c r="E98" s="51" t="n">
        <v>0.794</v>
      </c>
      <c r="F98" s="45" t="inlineStr">
        <is>
          <t>+0.00391</t>
        </is>
      </c>
    </row>
    <row r="100">
      <c r="A100" s="1" t="inlineStr">
        <is>
          <t>Assumptions — one row each (MEASURED / PROJECTION / ASSUMPTION)</t>
        </is>
      </c>
      <c r="B100" s="2" t="n"/>
      <c r="C100" s="2" t="n"/>
      <c r="D100" s="2" t="n"/>
      <c r="E100" s="2" t="n"/>
      <c r="F100" s="2" t="n"/>
    </row>
    <row r="101">
      <c r="A101" s="38" t="inlineStr">
        <is>
          <t>Assumption</t>
        </is>
      </c>
      <c r="B101" s="38" t="inlineStr">
        <is>
          <t>Value</t>
        </is>
      </c>
      <c r="C101" s="38" t="inlineStr"/>
      <c r="D101" s="38" t="inlineStr"/>
      <c r="E101" s="38" t="inlineStr">
        <is>
          <t>Status</t>
        </is>
      </c>
      <c r="F101" s="38" t="inlineStr">
        <is>
          <t>Source</t>
        </is>
      </c>
    </row>
    <row r="102">
      <c r="A102" s="45" t="inlineStr">
        <is>
          <t>Compute lever (economics slide)</t>
        </is>
      </c>
      <c r="B102" s="43" t="inlineStr">
        <is>
          <t>x9.24 = the x2.19 MEASURED serving blend x the x4.22 FIT-DERIVED equal-quality parameter ratio at trillion scale</t>
        </is>
      </c>
      <c r="E102" s="52" t="inlineStr">
        <is>
          <t>MEASURED x PROJECTION</t>
        </is>
      </c>
      <c r="F102" s="43" t="inlineStr">
        <is>
          <t>workload_compute_advantage() x quality_matched_compute_lever(); receipts derived.json + quality_fit_v4.json</t>
        </is>
      </c>
    </row>
    <row r="103">
      <c r="A103" s="45" t="inlineStr">
        <is>
          <t>Equal-quality parameter matching</t>
        </is>
      </c>
      <c r="B103" s="43" t="inlineStr">
        <is>
          <t>sealed 2026-08-14 refit, 4 rungs per family (47M-663M params): the fits cross at 392M and bAttention then matches the transformer fit's quality on 84.2% of the params at 1B, 55.2% at 10B, 36.2% at 100B, 23.7% at 1T, 15.5% at 10T. The receipt's own words: 'a projection of the two fits, not a measurement'</t>
        </is>
      </c>
      <c r="E103" s="52" t="inlineStr">
        <is>
          <t>PROJECTION</t>
        </is>
      </c>
      <c r="F103" s="43" t="inlineStr">
        <is>
          <t>quality_fit_v4.json param_matching; fits over the sealed rope-convention ladder</t>
        </is>
      </c>
    </row>
    <row r="104">
      <c r="A104" s="45" t="inlineStr">
        <is>
          <t>Single-GPU training step (AGAINST us)</t>
        </is>
      </c>
      <c r="B104" s="43" t="inlineStr">
        <is>
          <t>at 2,048-token context on one GPU a bAttention step costs x6.46 MORE (8,979 vs 1,389 ms/step, d1536/27L, fp16, 601-step protocol). At equal quality the same step costs x1.53 more, not x6.46 - the parameter ratio shrinks the gap but does not erase it. Training is excluded from the serving claim for this reason</t>
        </is>
      </c>
      <c r="E104" s="53" t="inlineStr">
        <is>
          <t>MEASURED</t>
        </is>
      </c>
      <c r="F104" s="43" t="inlineStr">
        <is>
          <t>dtype_trio_v4.json rows[fp16]</t>
        </is>
      </c>
    </row>
    <row r="105">
      <c r="A105" s="45" t="inlineStr">
        <is>
          <t>$/GPU-hour</t>
        </is>
      </c>
      <c r="B105" s="43" t="inlineStr">
        <is>
          <t>$2.50 (H100 rent, neocloud/committed mid; ladder 2.00-3.50)</t>
        </is>
      </c>
      <c r="E105" s="52" t="inlineStr">
        <is>
          <t>ASSUMPTION</t>
        </is>
      </c>
      <c r="F105" s="43" t="inlineStr">
        <is>
          <t>this file's CostLadder row — unchanged rate basis</t>
        </is>
      </c>
    </row>
    <row r="106">
      <c r="A106" s="45" t="inlineStr">
        <is>
          <t>Utilization</t>
        </is>
      </c>
      <c r="B106" s="43" t="inlineStr">
        <is>
          <t>85%</t>
        </is>
      </c>
      <c r="E106" s="52" t="inlineStr">
        <is>
          <t>ASSUMPTION</t>
        </is>
      </c>
      <c r="F106" s="43" t="inlineStr">
        <is>
          <t>same value as the ladder's owned-TCO cross-check</t>
        </is>
      </c>
    </row>
    <row r="107">
      <c r="A107" s="45" t="inlineStr">
        <is>
          <t>Context-length mix</t>
        </is>
      </c>
      <c r="B107" s="43" t="inlineStr">
        <is>
          <t>headline quoted at 262k (a measured decode cell); table sweeps 4k-1M. The decode lever crosses 1 at ~29,800 tokens and BELOW that the transformer serves more tokens per GPU-second than we do — stated on every surface</t>
        </is>
      </c>
      <c r="E107" s="52" t="inlineStr">
        <is>
          <t>ASSUMPTION</t>
        </is>
      </c>
      <c r="F107" s="43" t="inlineStr">
        <is>
          <t>serving_cost_curve, decode_throughput_ratio</t>
        </is>
      </c>
    </row>
    <row r="108">
      <c r="A108" s="45" t="inlineStr">
        <is>
          <t>Decode lever is MEMORY-CEILING, not latency (READ FIRST)</t>
        </is>
      </c>
      <c r="B108" s="43" t="inlineStr">
        <is>
          <t>per generated token at ONE stream the transformer is AHEAD of us at 64k context — 4.92 vs 5.74 GPU-busy per token. The lever is that it cannot hold many long-context streams: it re-reads its whole KV cache per emitted token, so its aggregate throughput falls as 1/context while ours is flat. Measured: 1 stream at 262k (2 OOM — an exact ceiling) and 8 streams at 32k (16 OOM, so that ceiling is only bracketed at 8-15 and the 32k cell is a bounded x0.97-1.14, near parity) against 64 of ours in 1.62 GB</t>
        </is>
      </c>
      <c r="E108" s="53" t="inlineStr">
        <is>
          <t>MEASURED</t>
        </is>
      </c>
      <c r="F108" s="43" t="inlineStr">
        <is>
          <t>deck_decode_d2048_bf16_gh200_20260814.json; DECODE_THROUGHPUT_20260814</t>
        </is>
      </c>
    </row>
    <row r="109">
      <c r="A109" s="45" t="inlineStr">
        <is>
          <t>Transformer-stack maturity</t>
        </is>
      </c>
      <c r="B109" s="43" t="inlineStr">
        <is>
          <t>NOT GRANTED by default since the 2026-08-14 re-base: the headline runs on the measured cells, in which neither family's decode is optimised (ours ran the unoptimised Triton per-step path at 9.5% GPU-busy while the transformer sat at 95.6%). Setting tf_kv_compression=8.0 grants it paged attention + KV quantization, divides our decode lever by 8 and puts the TRANSFORMER ahead at 64k — reported, not hidden</t>
        </is>
      </c>
      <c r="E109" s="52" t="inlineStr">
        <is>
          <t>ASSUMPTION</t>
        </is>
      </c>
      <c r="F109" s="43" t="inlineStr">
        <is>
          <t>SERVING['tf_kv_compression']</t>
        </is>
      </c>
    </row>
    <row r="110">
      <c r="A110" s="45" t="inlineStr">
        <is>
          <t>bAttention serving throughput</t>
        </is>
      </c>
      <c r="B110" s="43" t="inlineStr">
        <is>
          <t>562 tok/s/GPU (4,497/box): 64 concurrent 262,144-token streams on one GPU, context-flat 32k-262k (-4.0%). The 64-stream cell is a grid cap, not a ceiling — 1.62 GB of state on a 96 GB card at 9.5% GPU-busy — so it is a LOWER bound. Supersedes a 349,880 tok/s/box figure measured on the h-carry-only proxy</t>
        </is>
      </c>
      <c r="E110" s="53" t="inlineStr">
        <is>
          <t>MEASURED</t>
        </is>
      </c>
      <c r="F110" s="43" t="inlineStr">
        <is>
          <t>deck_decode_d2048_bf16_gh200_20260814.json rows[bdm, 64 streams]</t>
        </is>
      </c>
    </row>
    <row r="111">
      <c r="A111" s="45" t="inlineStr">
        <is>
          <t>bAttention per-stream state</t>
        </is>
      </c>
      <c r="B111" s="43" t="inlineStr">
        <is>
          <t>25.4 MB/stream, the FULL recurrent cell (h + M memory), 24.2 MiB measured, context-flat. The 0.15 MB figure previously quoted was an h-carry-only proxy with no M memory and is retired as a headline</t>
        </is>
      </c>
      <c r="E111" s="53" t="inlineStr">
        <is>
          <t>MEASURED</t>
        </is>
      </c>
      <c r="F111" s="43" t="inlineStr">
        <is>
          <t>deck_decode_d2048_bf16_gh200_20260814.json state_bytes_per_stream</t>
        </is>
      </c>
    </row>
    <row r="112">
      <c r="A112" s="45" t="inlineStr">
        <is>
          <t>Transformer KV wall</t>
        </is>
      </c>
      <c r="B112" s="43" t="inlineStr">
        <is>
          <t>197 KB per token of context per stream — 51.5 GB for one 262,144-token stream, a 2nd stream OOMs a 96 GB card, and 16 streams OOM it at 32,768 tokens. Its retired 88.5 per-token decode cost was inflated by a growing-KV re-planning harness artifact; the traced figure is 14.92 GPU-busy at 262k</t>
        </is>
      </c>
      <c r="E112" s="53" t="inlineStr">
        <is>
          <t>MEASURED</t>
        </is>
      </c>
      <c r="F112" s="43" t="inlineStr">
        <is>
          <t>deck_decode_d2048_bf16_gh200_20260814.json rows[transformer]</t>
        </is>
      </c>
    </row>
    <row r="113">
      <c r="A113" s="45" t="inlineStr">
        <is>
          <t>Training throughput at 8 GPUs</t>
        </is>
      </c>
      <c r="B113" s="43" t="inlineStr">
        <is>
          <t>x5.15 (bAttention, fwd+bwd) vs x3.70 (transformer Ulysses best, forward-only) at matched 16-in-flight load -&gt; x1.39; x6.27 at 256 in flight -&gt; x1.70</t>
        </is>
      </c>
      <c r="E113" s="53" t="inlineStr">
        <is>
          <t>MEASURED</t>
        </is>
      </c>
      <c r="F113" s="43" t="inlineStr">
        <is>
          <t>derived.json matched_load_curve, scaling_1to8_best</t>
        </is>
      </c>
    </row>
    <row r="114">
      <c r="A114" s="45" t="inlineStr">
        <is>
          <t>Memory walls (component scope)</t>
        </is>
      </c>
      <c r="B114" s="43" t="inlineStr">
        <is>
          <t>64k-token sequence: 30.9 GB (fits 1 GPU) vs OOM at 78.4 GB attempted; pipeline stage 9.05 GB flat vs GPipe 43.3 GB</t>
        </is>
      </c>
      <c r="E114" s="53" t="inlineStr">
        <is>
          <t>MEASURED</t>
        </is>
      </c>
      <c r="F114" s="43" t="inlineStr">
        <is>
          <t>derived.json pipeline_feasibility, pipeline_memory_asymmetry</t>
        </is>
      </c>
    </row>
    <row r="115">
      <c r="A115" s="45" t="inlineStr">
        <is>
          <t>Compute lever (flop_factor)</t>
        </is>
      </c>
      <c r="B115" s="43" t="inlineStr">
        <is>
          <t>cross-family prefill, bf16, 1xH100, parameter counts exactly matched, block scope (1 layer, batch 16): TF/bAttention 4.02 at d512/1M, 3.83 at d1024/1M, 2.01 at d2048/262k. Short context favours the transformer and is stated so</t>
        </is>
      </c>
      <c r="E115" s="53" t="inlineStr">
        <is>
          <t>MEASURED</t>
        </is>
      </c>
      <c r="F115" s="43" t="inlineStr">
        <is>
          <t>matched_d{512,1024,2048}_h100.json (2026-07-21)</t>
        </is>
      </c>
    </row>
    <row r="116">
      <c r="A116" s="45" t="inlineStr">
        <is>
          <t>Compute, fp32 lane (scope reference)</t>
        </is>
      </c>
      <c r="B116" s="43" t="inlineStr">
        <is>
          <t>the d2048/24-layer fp32 sweep gives 7.91 at 262k at full-model scope. No fp32 FlashAttention kernel exists, so that lane runs mem-efficient attention on the transformer and the owned arm is fp16 internally; params 16.7% apart. Full model in bf16 has not been run</t>
        </is>
      </c>
      <c r="E116" s="52" t="inlineStr">
        <is>
          <t>LABEL</t>
        </is>
      </c>
      <c r="F116" s="43" t="inlineStr">
        <is>
          <t>deck_speed_scaling_d2048_h100_20260803.json sdpa_fp32_backend_probe + last_route_attestation</t>
        </is>
      </c>
    </row>
    <row r="117">
      <c r="A117" s="45" t="inlineStr">
        <is>
          <t>16-bit IO (training)</t>
        </is>
      </c>
      <c r="B117" s="43" t="inlineStr">
        <is>
          <t>same-arch GH200 gate at d1536: fp16 x1.185 step time and -17.5% peak memory, bf16 x1.171 and -20.6%; quality deltas +0.001 to +0.004 from the gate's smaller vehicle. Reported on its own; not an input to the compute lever</t>
        </is>
      </c>
      <c r="E117" s="53" t="inlineStr">
        <is>
          <t>MEASURED</t>
        </is>
      </c>
      <c r="F117" s="43" t="inlineStr">
        <is>
          <t>receipts/io16_gate_20260809.md (2026-08-09)</t>
        </is>
      </c>
    </row>
    <row r="118">
      <c r="A118" s="45" t="inlineStr">
        <is>
          <t>Quality parity at 70B</t>
        </is>
      </c>
      <c r="B118" s="43" t="inlineStr">
        <is>
          <t>transformer needs x4.1 params [2.2-7.7] or x1.7 tokens [1.33-2.10, beta=0.28 assumption]; crossover N* ~321M = the top measured rung</t>
        </is>
      </c>
      <c r="E118" s="52" t="inlineStr">
        <is>
          <t>PROJECTION</t>
        </is>
      </c>
      <c r="F118" s="43" t="inlineStr">
        <is>
          <t>derived.json quality_fit.ref_70B, parity_cost</t>
        </is>
      </c>
    </row>
    <row r="119">
      <c r="A119" s="45" t="inlineStr">
        <is>
          <t>Scope</t>
        </is>
      </c>
      <c r="B119" s="43" t="inlineStr">
        <is>
          <t>systems numbers are component-scope (bAttention d1536 fwd+bwd h-recurrence sub-block vs transformer d2048 forward-only layer); every speedup is vs the family's OWN 1-GPU baseline</t>
        </is>
      </c>
      <c r="E119" s="52" t="inlineStr">
        <is>
          <t>LABEL</t>
        </is>
      </c>
      <c r="F119" s="43" t="inlineStr">
        <is>
          <t>derived.json scope_reconciliation; deck README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40" customWidth="1" min="1" max="1"/>
    <col width="14" customWidth="1" min="2" max="2"/>
    <col width="12" customWidth="1" min="3" max="3"/>
    <col width="52" customWidth="1" min="4" max="4"/>
  </cols>
  <sheetData>
    <row r="1">
      <c r="A1" s="1" t="inlineStr">
        <is>
          <t>EVIDENCE — cost split, accelerator share, own-silicon TCO, filing data</t>
        </is>
      </c>
      <c r="B1" s="2" t="n"/>
      <c r="C1" s="2" t="n"/>
      <c r="D1" s="2" t="n"/>
    </row>
    <row r="3">
      <c r="A3" s="8" t="inlineStr">
        <is>
          <t>GPU cost split (BOM)</t>
        </is>
      </c>
      <c r="B3" t="inlineStr">
        <is>
          <t>$ cost</t>
        </is>
      </c>
      <c r="C3" t="inlineStr">
        <is>
          <t>% COGS</t>
        </is>
      </c>
      <c r="D3" s="3" t="inlineStr">
        <is>
          <t>Method 1: teardown = true resource cost</t>
        </is>
      </c>
    </row>
    <row r="4">
      <c r="A4" t="inlineStr">
        <is>
          <t>H100: HBM3 memory (80GB)</t>
        </is>
      </c>
      <c r="B4" t="n">
        <v>1350</v>
      </c>
      <c r="C4" t="inlineStr">
        <is>
          <t>41%</t>
        </is>
      </c>
      <c r="D4" s="3" t="inlineStr">
        <is>
          <t>MEMORY</t>
        </is>
      </c>
    </row>
    <row r="5">
      <c r="A5" t="inlineStr">
        <is>
          <t>H100: CoWoS packaging</t>
        </is>
      </c>
      <c r="B5" t="n">
        <v>750</v>
      </c>
      <c r="C5" t="inlineStr">
        <is>
          <t>23%</t>
        </is>
      </c>
      <c r="D5" s="3" t="inlineStr">
        <is>
          <t>mostly memory (interposer hosts HBM)</t>
        </is>
      </c>
    </row>
    <row r="6">
      <c r="A6" t="inlineStr">
        <is>
          <t>H100: test &amp; assembly</t>
        </is>
      </c>
      <c r="B6" t="n">
        <v>920</v>
      </c>
      <c r="C6" t="inlineStr">
        <is>
          <t>28%</t>
        </is>
      </c>
      <c r="D6" s="3" t="inlineStr">
        <is>
          <t>shared</t>
        </is>
      </c>
    </row>
    <row r="7">
      <c r="A7" t="inlineStr">
        <is>
          <t>H100: logic die (compute)</t>
        </is>
      </c>
      <c r="B7" t="n">
        <v>300</v>
      </c>
      <c r="C7" t="inlineStr">
        <is>
          <t>9%</t>
        </is>
      </c>
      <c r="D7" s="3" t="inlineStr">
        <is>
          <t>COMPUTE -- cheapest part</t>
        </is>
      </c>
    </row>
    <row r="8">
      <c r="A8" t="inlineStr">
        <is>
          <t>H100 total COGS</t>
        </is>
      </c>
      <c r="B8" t="n">
        <v>3320</v>
      </c>
      <c r="C8" t="inlineStr">
        <is>
          <t>100%</t>
        </is>
      </c>
      <c r="D8" s="3" t="inlineStr">
        <is>
          <t>sells ~$28k -&gt; ~88% margin</t>
        </is>
      </c>
    </row>
    <row r="9">
      <c r="A9" t="inlineStr">
        <is>
          <t>B200 total COGS</t>
        </is>
      </c>
      <c r="B9" t="n">
        <v>6400</v>
      </c>
      <c r="C9" t="inlineStr">
        <is>
          <t>HBM 45%</t>
        </is>
      </c>
      <c r="D9" s="3" t="inlineStr">
        <is>
          <t>memory &gt; logic die; sells ~$40k -&gt; ~84% margin</t>
        </is>
      </c>
    </row>
    <row r="11">
      <c r="A11" s="8" t="inlineStr">
        <is>
          <t>Accelerator share of server BOM</t>
        </is>
      </c>
      <c r="B11" t="inlineStr"/>
      <c r="C11" t="inlineStr"/>
      <c r="D11" s="3" t="inlineStr">
        <is>
          <t>for accel-within-server share</t>
        </is>
      </c>
    </row>
    <row r="12">
      <c r="A12" t="inlineStr">
        <is>
          <t>8x H100 server (J.P. Morgan)</t>
        </is>
      </c>
      <c r="B12" t="inlineStr">
        <is>
          <t>83%</t>
        </is>
      </c>
      <c r="C12" t="inlineStr"/>
      <c r="D12" s="3" t="inlineStr">
        <is>
          <t>accelerator = $200k of $240k</t>
        </is>
      </c>
    </row>
    <row r="13">
      <c r="A13" t="inlineStr">
        <is>
          <t>8x A100 server (J.P. Morgan)</t>
        </is>
      </c>
      <c r="B13" t="inlineStr">
        <is>
          <t>71%</t>
        </is>
      </c>
      <c r="C13" t="inlineStr"/>
      <c r="D13" s="3" t="inlineStr">
        <is>
          <t>GB200 rack ~76-80% (SemiAnalysis)</t>
        </is>
      </c>
    </row>
    <row r="15">
      <c r="A15" s="8" t="inlineStr">
        <is>
          <t>Own-silicon vs NVIDIA (TCO)</t>
        </is>
      </c>
      <c r="B15" t="inlineStr"/>
      <c r="C15" t="inlineStr"/>
      <c r="D15" s="3" t="inlineStr">
        <is>
          <t>cheaper, but valued at cost in model</t>
        </is>
      </c>
    </row>
    <row r="16">
      <c r="A16" t="inlineStr">
        <is>
          <t>Google TPU v7 vs GB200/GB300</t>
        </is>
      </c>
      <c r="B16" t="inlineStr">
        <is>
          <t>20-50% lower</t>
        </is>
      </c>
      <c r="C16" t="inlineStr"/>
      <c r="D16" s="3" t="inlineStr">
        <is>
          <t>per useful FLOP (SemiAnalysis)</t>
        </is>
      </c>
    </row>
    <row r="17">
      <c r="A17" t="inlineStr">
        <is>
          <t>Amazon Trainium3 vs GB300</t>
        </is>
      </c>
      <c r="B17" t="inlineStr">
        <is>
          <t>~30% better</t>
        </is>
      </c>
      <c r="C17" t="inlineStr"/>
      <c r="D17" s="3" t="inlineStr">
        <is>
          <t>chips ~1/3 cheaper to build</t>
        </is>
      </c>
    </row>
    <row r="19">
      <c r="A19" s="8" t="inlineStr">
        <is>
          <t>Filing data (FY2025 actuals)</t>
        </is>
      </c>
      <c r="B19" t="inlineStr">
        <is>
          <t>total capex</t>
        </is>
      </c>
      <c r="C19" t="inlineStr">
        <is>
          <t>server life</t>
        </is>
      </c>
      <c r="D19" s="3" t="inlineStr">
        <is>
          <t>DISCLOSED top-lines</t>
        </is>
      </c>
    </row>
    <row r="20">
      <c r="A20" t="inlineStr">
        <is>
          <t>Microsoft (Jun'25, incl leases)</t>
        </is>
      </c>
      <c r="B20" t="inlineStr">
        <is>
          <t>~$88B</t>
        </is>
      </c>
      <c r="C20" t="inlineStr">
        <is>
          <t>2-6 yr</t>
        </is>
      </c>
      <c r="D20" s="3" t="inlineStr">
        <is>
          <t>'roughly half' short-lived (CFO)</t>
        </is>
      </c>
    </row>
    <row r="21">
      <c r="A21" t="inlineStr">
        <is>
          <t>Alphabet</t>
        </is>
      </c>
      <c r="B21" t="inlineStr">
        <is>
          <t>$91.4B</t>
        </is>
      </c>
      <c r="C21" t="inlineStr">
        <is>
          <t>6 yr</t>
        </is>
      </c>
      <c r="D21" s="3" t="inlineStr">
        <is>
          <t>60% servers / 40% DC (CFO)</t>
        </is>
      </c>
    </row>
    <row r="22">
      <c r="A22" t="inlineStr">
        <is>
          <t>Amazon (cash capex)</t>
        </is>
      </c>
      <c r="B22" t="inlineStr">
        <is>
          <t>$128.3B</t>
        </is>
      </c>
      <c r="C22" t="inlineStr">
        <is>
          <t>5 yr (cut)</t>
        </is>
      </c>
      <c r="D22" s="3" t="inlineStr">
        <is>
          <t>AWS 67.8% of net P&amp;E additions</t>
        </is>
      </c>
    </row>
    <row r="23">
      <c r="A23" t="inlineStr">
        <is>
          <t>Meta (incl finance leases)</t>
        </is>
      </c>
      <c r="B23" t="inlineStr">
        <is>
          <t>$72.2B</t>
        </is>
      </c>
      <c r="C23" t="inlineStr">
        <is>
          <t>5.5 yr</t>
        </is>
      </c>
      <c r="D23" s="3" t="inlineStr">
        <is>
          <t>servers 'largest portion' (CFO)</t>
        </is>
      </c>
    </row>
    <row r="24">
      <c r="A24" t="inlineStr">
        <is>
          <t>FY26 capex guidance</t>
        </is>
      </c>
      <c r="B24" t="inlineStr"/>
      <c r="C24" t="inlineStr"/>
      <c r="D24" s="3" t="inlineStr">
        <is>
          <t>MSFT ~$190B, Alphabet $180-190B, Amazon ~$200B, Meta $125-145B, Oracle ~$50B; SpaceX ~$18B (est)</t>
        </is>
      </c>
    </row>
    <row r="26">
      <c r="A26" s="8" t="inlineStr">
        <is>
          <t>Cost-weighted reduction vs memory share</t>
        </is>
      </c>
      <c r="B26" t="inlineStr">
        <is>
          <t>reduction (x)</t>
        </is>
      </c>
      <c r="C26" t="inlineStr"/>
      <c r="D26" s="3" t="inlineStr">
        <is>
          <t>live: =1/(w/memfac+(1-w)/flopfac)</t>
        </is>
      </c>
    </row>
    <row r="27">
      <c r="A27" t="inlineStr">
        <is>
          <t>memory share = 45%</t>
        </is>
      </c>
      <c r="B27" s="16" t="n">
        <v>0.45</v>
      </c>
      <c r="C27" s="37">
        <f>1/(B27/Inputs!$B$2+(1-B27)/Inputs!$B$3)</f>
        <v/>
      </c>
      <c r="D27" t="inlineStr">
        <is>
          <t>compute term dominates -&gt; stays far below 100x</t>
        </is>
      </c>
    </row>
    <row r="28">
      <c r="A28" t="inlineStr">
        <is>
          <t>memory share = 50%</t>
        </is>
      </c>
      <c r="B28" s="16" t="n">
        <v>0.5</v>
      </c>
      <c r="C28" s="37">
        <f>1/(B28/Inputs!$B$2+(1-B28)/Inputs!$B$3)</f>
        <v/>
      </c>
      <c r="D28" t="inlineStr">
        <is>
          <t>compute term dominates -&gt; stays far below 100x</t>
        </is>
      </c>
    </row>
    <row r="29">
      <c r="A29" t="inlineStr">
        <is>
          <t>memory share = 60%</t>
        </is>
      </c>
      <c r="B29" s="16" t="n">
        <v>0.6</v>
      </c>
      <c r="C29" s="37">
        <f>1/(B29/Inputs!$B$2+(1-B29)/Inputs!$B$3)</f>
        <v/>
      </c>
      <c r="D29" t="inlineStr">
        <is>
          <t>compute term dominates -&gt; stays far below 100x</t>
        </is>
      </c>
    </row>
    <row r="30">
      <c r="A30" t="inlineStr">
        <is>
          <t>memory share = 70%</t>
        </is>
      </c>
      <c r="B30" s="16" t="n">
        <v>0.7</v>
      </c>
      <c r="C30" s="37">
        <f>1/(B30/Inputs!$B$2+(1-B30)/Inputs!$B$3)</f>
        <v/>
      </c>
      <c r="D30" t="inlineStr">
        <is>
          <t>compute term dominates -&gt; stays far below 100x</t>
        </is>
      </c>
    </row>
    <row r="31">
      <c r="A31" t="inlineStr">
        <is>
          <t>memory share = 82%</t>
        </is>
      </c>
      <c r="B31" s="16" t="n">
        <v>0.82</v>
      </c>
      <c r="C31" s="37">
        <f>1/(B31/Inputs!$B$2+(1-B31)/Inputs!$B$3)</f>
        <v/>
      </c>
      <c r="D31" t="inlineStr">
        <is>
          <t>compute term dominates -&gt; stays far below 100x</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44"/>
  <sheetViews>
    <sheetView workbookViewId="0">
      <selection activeCell="A1" sqref="A1"/>
    </sheetView>
  </sheetViews>
  <sheetFormatPr baseColWidth="8" defaultRowHeight="15"/>
  <cols>
    <col width="120" customWidth="1" min="1" max="1"/>
  </cols>
  <sheetData>
    <row r="1">
      <c r="A1" s="4" t="inlineStr">
        <is>
          <t>METHODOLOGY &amp; SOURCES</t>
        </is>
      </c>
    </row>
    <row r="2">
      <c r="A2" s="3" t="inlineStr"/>
    </row>
    <row r="3">
      <c r="A3" s="3" t="inlineStr">
        <is>
          <t>Engine: GPU cost ~60% memory / ~40% compute. TODAY (default): memory x100 + FLOPs x9.24 (blend x2.19 x equal-quality parameter ratio x4.22 at 1T) -&gt; ~20x cost-weighted (Inputs B20). CEILING: FLOPs x22.1 -&gt; ~41x.</t>
        </is>
      </c>
    </row>
    <row r="4">
      <c r="A4" s="3" t="inlineStr">
        <is>
          <t xml:space="preserve">  Floored by the least-reduced part (compute). Neither alone helps (mem-only ~2.5x, FLOP-only ~1.5x).</t>
        </is>
      </c>
    </row>
    <row r="5">
      <c r="A5" s="3" t="inlineStr"/>
    </row>
    <row r="6">
      <c r="A6" s="3" t="inlineStr">
        <is>
          <t>Per company (own tab): total capex (DISCLOSED) x infra share x server share x accelerator share = accelerator capex; then fleet -&gt; opex -&gt; efficient -&gt; value. FY25 + FY26.</t>
        </is>
      </c>
    </row>
    <row r="7">
      <c r="A7" s="3" t="inlineStr">
        <is>
          <t xml:space="preserve">  infra share strips non-AI (Amazon AWS 68%); server share CFO-disclosed (MSFT ~50%, Google 60%); accel-within-server ~67-80% from BOM.</t>
        </is>
      </c>
    </row>
    <row r="8">
      <c r="A8" s="3" t="inlineStr">
        <is>
          <t xml:space="preserve">  Accel % of total varies: Amazon ~30% (legacy fleet + non-AI), MSFT ~37%, Google ~40%, Meta ~48%, SpaceX ~79% (greenfield).</t>
        </is>
      </c>
    </row>
    <row r="9">
      <c r="A9" s="3" t="inlineStr">
        <is>
          <t>Totals (front page): rolls up the company tabs live; no double-count (they don't pay each other for the bulk). GLOBAL row grosses the named total up to a worldwide estimate (Inputs 'Named share of global AI capex').</t>
        </is>
      </c>
    </row>
    <row r="10">
      <c r="A10" s="3" t="inlineStr">
        <is>
          <t>Value: spend cut/yr = accel x (1 - 1/reduction) ~95% + opex savings; capitalized = annual / discount rate. Compute valued at ACTUAL cost.</t>
        </is>
      </c>
    </row>
    <row r="11">
      <c r="A11" s="3" t="inlineStr">
        <is>
          <t>Energy/opex reduction: DERIVED = cost-weighted reduction (energy splits memory/compute like cost). Inputs B5 defaults to =B20; overtype that cell to override.</t>
        </is>
      </c>
    </row>
    <row r="12">
      <c r="A12" s="3" t="inlineStr">
        <is>
          <t>HOW EACH INPUT IS DERIVED: Inputs sheet column D notes every global assumption; Evidence sheet has the BOM cost split (mem share), accelerator-share teardowns, own-silicon TCO and filing top-lines; per-company capex/shares/revenue carry a basis + clickable Sources on each company tab.</t>
        </is>
      </c>
    </row>
    <row r="13">
      <c r="A13" s="3" t="inlineStr">
        <is>
          <t>Net AI economics (Totals + company tabs): Net AI = AI revenue - AI capex (full AI-infra) - AI opex (cash basis). With our arch: Net AI + spend cut.</t>
        </is>
      </c>
    </row>
    <row r="14">
      <c r="A14" s="3" t="inlineStr">
        <is>
          <t xml:space="preserve">  Shows they all LOSE money on AI today. TOGGLE 'Datacenter scaling factor' (Inputs B13): 0 = accelerator-only (conservative); 1 = whole datacenter scales -&gt; net AI flips positive (~0.7 = breakeven).</t>
        </is>
      </c>
    </row>
    <row r="15">
      <c r="A15" s="3" t="inlineStr"/>
    </row>
    <row r="16">
      <c r="A16" s="4" t="inlineStr">
        <is>
          <t>KEY RESULTS (defaults)</t>
        </is>
      </c>
    </row>
    <row r="17">
      <c r="A17" s="3" t="inlineStr">
        <is>
          <t>- Cost-weighted reduction ~20x TODAY, ~41x at the CEILING (NOT 100x; ~16-36x over memory share 45-82% at the Today lever).</t>
        </is>
      </c>
    </row>
    <row r="18">
      <c r="A18" s="3" t="inlineStr">
        <is>
          <t>- Net AI FY25: 6 named firms spend ~$375B (capex+opex) vs ~$79B AI revenue = ~ -$295B/yr cash burn.</t>
        </is>
      </c>
    </row>
    <row r="19">
      <c r="A19" s="3" t="inlineStr">
        <is>
          <t>- With our architecture: spend cut ~$159B -&gt; burn shrinks to ~ -$136B/yr (~42% of AI spend cut).</t>
        </is>
      </c>
    </row>
    <row r="20">
      <c r="A20" s="3" t="inlineStr">
        <is>
          <t>- Spend-cut value (named floor, 6% discount rate): FY25 ~$159B/yr (~$2.6T capitalized); FY26 r/r ~$337B/yr (~$5.6T). Ceiling: ~$163B FY25.</t>
        </is>
      </c>
    </row>
    <row r="21">
      <c r="A21" s="3" t="inlineStr">
        <is>
          <t>- GLOBAL estimate (named ~80% of world AI capex): FY25 ~$3.3T, FY26 ~$7.0T capitalized. Clearly an estimate.</t>
        </is>
      </c>
    </row>
    <row r="22">
      <c r="A22" s="3" t="inlineStr"/>
    </row>
    <row r="23">
      <c r="A23" s="4" t="inlineStr">
        <is>
          <t>CAVEATS</t>
        </is>
      </c>
    </row>
    <row r="24">
      <c r="A24" s="3" t="inlineStr">
        <is>
          <t>- AI REVENUE is the softest input: MSFT $37B &amp; Amazon $15B run-rates are DISCLOSED; Google/Meta/Oracle/SpaceX are ESTIMATES. Meta's real AI payoff is indirect ad-uplift (~$20B), not direct revenue -- so its 'loss' here overstates.</t>
        </is>
      </c>
    </row>
    <row r="25">
      <c r="A25" s="3" t="inlineStr">
        <is>
          <t>- Net AI is CASH basis (capex not depreciated). On an accounting (depreciation) basis the loss is smaller; on a depreciation basis it is closer to a true P&amp;L.</t>
        </is>
      </c>
    </row>
    <row r="26">
      <c r="A26" s="3" t="inlineStr">
        <is>
          <t>- No company reports 'accelerator capex'. Totals DISCLOSED; server/accel split ESTIMATED (server CFO-disclosed; accel-within from BOM). +/-15-20%.</t>
        </is>
      </c>
    </row>
    <row r="27">
      <c r="A27" s="3" t="inlineStr">
        <is>
          <t>- FY26 is a full live chain (FY26 total-capex guidance x FY26 shares). SpaceX FY26 ~$18B is an estimate.</t>
        </is>
      </c>
    </row>
    <row r="28">
      <c r="A28" s="3" t="inlineStr">
        <is>
          <t>- Hyperscaler market caps (company tab row 7) are approximate placeholders -- edit to current.</t>
        </is>
      </c>
    </row>
    <row r="29">
      <c r="A29" s="3" t="inlineStr">
        <is>
          <t>- Own-silicon (TPU/Trainium/MTIA) is cheaper per FLOP, but compute is valued at ACTUAL cost; CostLadder shows the buy/rent premium.</t>
        </is>
      </c>
    </row>
    <row r="30">
      <c r="A30" s="3" t="inlineStr">
        <is>
          <t>- Multiplying the levers (100x * 9.2x ~ 900x) is NOT physical: cost is additive (Amdahl), not multiplicative.</t>
        </is>
      </c>
    </row>
    <row r="31">
      <c r="A31" s="3" t="inlineStr">
        <is>
          <t>- JEVONS: savings reinvested into more AI, not budget cuts. Capitalization is a simple perpetuity.</t>
        </is>
      </c>
    </row>
    <row r="32">
      <c r="A32" s="3" t="inlineStr"/>
    </row>
    <row r="33">
      <c r="A33" s="4" t="inlineStr">
        <is>
          <t>SOURCES</t>
        </is>
      </c>
    </row>
    <row r="34">
      <c r="A34" s="3" t="inlineStr">
        <is>
          <t>SpaceX S-1 / IPO: https://www.hl.co.uk/news/inside-spacexs-ipo-filing-revenue-starlink-ai-and-key-financials</t>
        </is>
      </c>
    </row>
    <row r="35">
      <c r="A35" s="3" t="inlineStr">
        <is>
          <t>Microsoft FY25 capex (Q3 FY26 call): https://www.fool.com/earnings/call-transcripts/2026/04/29/microsoft-msft-q3-2026-earnings-transcript/</t>
        </is>
      </c>
    </row>
    <row r="36">
      <c r="A36" s="3" t="inlineStr">
        <is>
          <t>Alphabet FY25 $91.4B, 60/40 split (Q4'25 call): https://www.fool.com/earnings/call-transcripts/2026/02/04/alphabet-googl-q4-2025-earnings-call-transcript/</t>
        </is>
      </c>
    </row>
    <row r="37">
      <c r="A37" s="3" t="inlineStr">
        <is>
          <t>Amazon FY25 $128.3B + server life 6-&gt;5yr (10-K): https://www.sec.gov/Archives/edgar/data/1018724/000101872426000004/amzn-20251231.htm</t>
        </is>
      </c>
    </row>
    <row r="38">
      <c r="A38" s="3" t="inlineStr">
        <is>
          <t>Meta FY25 $72.2B (Q4/FY25 release): https://investor.atmeta.com/investor-news/press-release-details/2026/Meta-Reports-Fourth-Quarter-and-Full-Year-2025-Results/default.aspx</t>
        </is>
      </c>
    </row>
    <row r="39">
      <c r="A39" s="3" t="inlineStr">
        <is>
          <t>H100/B200 BOM + margin (Silicon Analysts): https://siliconanalysts.com/analysis/nvidia-b200-blackwell-cost-breakdown</t>
        </is>
      </c>
    </row>
    <row r="40">
      <c r="A40" s="3" t="inlineStr">
        <is>
          <t>TPU/Trainium TCO (SemiAnalysis): https://newsletter.semianalysis.com/p/tpuv7-google-takes-a-swing-at-the</t>
        </is>
      </c>
    </row>
    <row r="41">
      <c r="A41" s="3" t="inlineStr">
        <is>
          <t>GPU rental prices 2026 (Spheron): https://www.spheron.network/blog/gpu-cloud-pricing-comparison-2026/</t>
        </is>
      </c>
    </row>
    <row r="42">
      <c r="A42" s="3" t="inlineStr">
        <is>
          <t>Microsoft $37B AI run-rate (Q3 FY26): https://news.alphastreet.com/microsoft-msft-q3-fy2026-azure-hits-40-growth-as-ai-business-reaches-37-billion-run-rate/</t>
        </is>
      </c>
    </row>
    <row r="43">
      <c r="A43" s="3" t="inlineStr">
        <is>
          <t>Amazon &gt;$15B AWS AI run-rate (Q1 FY26): https://www.bnnbloomberg.ca/business/artificial-intelligence/2026/04/09/amazon-cloud-units-ai-revenue-run-rate-exceeds-us15-billion-in-first-quarter-ceo-says/</t>
        </is>
      </c>
    </row>
    <row r="44">
      <c r="A44" s="3" t="inlineStr">
        <is>
          <t>Hyperscalers losing money on AI (capex vs revenue): https://fortune.com/2026/04/15/data-centers-hyperscalers-spending-billions-on-hardware-thats-worthless-in-3-years/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2026-08-17T16:19:45Z</dcterms:created>
  <dcterms:modified xmlns:dcterms="http://purl.org/dc/terms/" xmlns:xsi="http://www.w3.org/2001/XMLSchema-instance" xsi:type="dcterms:W3CDTF">2026-08-17T16:19:45Z</dcterms:modified>
</cp:coreProperties>
</file>