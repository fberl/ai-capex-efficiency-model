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6">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5">
      <c r="A15" s="1" t="inlineStr">
        <is>
          <t>SAVINGS BREAKDOWN — the spend cut, split</t>
        </is>
      </c>
      <c r="B15" s="2" t="n"/>
      <c r="C15" s="2" t="n"/>
      <c r="D15" s="2" t="n"/>
      <c r="E15" s="2" t="n"/>
      <c r="F15" s="2" t="n"/>
      <c r="G15" s="2" t="n"/>
      <c r="H15" s="2" t="n"/>
    </row>
    <row r="16">
      <c r="A16" t="inlineStr">
        <is>
          <t>Cost-weighted reduction (Amdahl)</t>
        </is>
      </c>
      <c r="B16" s="12">
        <f>Inputs!$B$20</f>
        <v/>
      </c>
      <c r="C16" t="inlineStr">
        <is>
          <t>x</t>
        </is>
      </c>
    </row>
    <row r="18">
      <c r="B18" s="8" t="inlineStr">
        <is>
          <t>Saved OPEX</t>
        </is>
      </c>
      <c r="C18" s="4" t="inlineStr">
        <is>
          <t>Avoided CAPEX (Overspend)</t>
        </is>
      </c>
      <c r="D18" s="8" t="inlineStr">
        <is>
          <t>Total</t>
        </is>
      </c>
    </row>
    <row r="19">
      <c r="A19" t="inlineStr">
        <is>
          <t>FY2025 annual ($B/yr)</t>
        </is>
      </c>
      <c r="B19" s="5">
        <f>SUM(Microsoft!B26,Alphabet!B26,Amazon!B26,Meta!B26,Oracle!B26,SpaceX!B26)/1000</f>
        <v/>
      </c>
      <c r="C19" s="5">
        <f>SUM(Microsoft!B25,Alphabet!B25,Amazon!B25,Meta!B25,Oracle!B25,SpaceX!B25)</f>
        <v/>
      </c>
      <c r="D19" s="5">
        <f>B19+C19</f>
        <v/>
      </c>
    </row>
    <row r="20">
      <c r="A20" s="8" t="inlineStr">
        <is>
          <t>FY2025 capitalized ($B)</t>
        </is>
      </c>
      <c r="B20" s="13">
        <f>B19/Inputs!$B$6</f>
        <v/>
      </c>
      <c r="C20" s="13">
        <f>C19/Inputs!$B$6</f>
        <v/>
      </c>
      <c r="D20" s="13">
        <f>B20+C20</f>
        <v/>
      </c>
    </row>
    <row r="21">
      <c r="A21" t="inlineStr">
        <is>
          <t>FY2026 annual ($B/yr)</t>
        </is>
      </c>
      <c r="B21" s="5">
        <f>SUM(Microsoft!C26,Alphabet!C26,Amazon!C26,Meta!C26,Oracle!C26,SpaceX!C26)/1000</f>
        <v/>
      </c>
      <c r="C21" s="5">
        <f>SUM(Microsoft!C25,Alphabet!C25,Amazon!C25,Meta!C25,Oracle!C25,SpaceX!C25)</f>
        <v/>
      </c>
      <c r="D21" s="5">
        <f>B21+C21</f>
        <v/>
      </c>
    </row>
    <row r="22">
      <c r="A22" s="8" t="inlineStr">
        <is>
          <t>FY2026 capitalized ($B)</t>
        </is>
      </c>
      <c r="B22" s="13">
        <f>B21/Inputs!$B$6</f>
        <v/>
      </c>
      <c r="C22" s="13">
        <f>C21/Inputs!$B$6</f>
        <v/>
      </c>
      <c r="D22" s="13">
        <f>B22+C22</f>
        <v/>
      </c>
    </row>
    <row r="23">
      <c r="A23" s="8" t="inlineStr">
        <is>
          <t>GLOBAL capitalized -- est. ($B)</t>
        </is>
      </c>
      <c r="B23" s="13">
        <f>D20/Inputs!$B$14</f>
        <v/>
      </c>
      <c r="C23" s="13">
        <f>D22/Inputs!$B$14</f>
        <v/>
      </c>
      <c r="D23" s="3" t="inlineStr">
        <is>
          <t>named-floor capitalized / named-share-of-global (Inputs B14). ESTIMATE: grosses up for other clouds, China, neoclouds, xAI, sovereign.</t>
        </is>
      </c>
    </row>
    <row r="24">
      <c r="A24" t="inlineStr">
        <is>
          <t>% reduction</t>
        </is>
      </c>
      <c r="B24" s="7">
        <f>1-1/Inputs!$B$5</f>
        <v/>
      </c>
      <c r="C24" s="7">
        <f>1-1/Inputs!$B$20</f>
        <v/>
      </c>
    </row>
    <row r="25">
      <c r="A25"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c r="A27" s="1" t="inlineStr">
        <is>
          <t>TABS</t>
        </is>
      </c>
      <c r="B27" s="2" t="n"/>
      <c r="C27" s="2" t="n"/>
      <c r="D27" s="2" t="n"/>
      <c r="E27" s="2" t="n"/>
      <c r="F27" s="2" t="n"/>
      <c r="G27" s="2" t="n"/>
      <c r="H27" s="2" t="n"/>
    </row>
    <row r="28">
      <c r="A28" s="8" t="inlineStr">
        <is>
          <t>Microsoft / Alphabet / Amazon / Meta / Oracle / SpaceX</t>
        </is>
      </c>
      <c r="B28" s="3" t="inlineStr">
        <is>
          <t>one tab each: full build capex -&gt; infra -&gt; servers -&gt; accelerator -&gt; fleet/opex -&gt; value</t>
        </is>
      </c>
    </row>
    <row r="29">
      <c r="A29" s="8" t="inlineStr">
        <is>
          <t>Inputs</t>
        </is>
      </c>
      <c r="B29" s="3" t="inlineStr">
        <is>
          <t>global assumptions + the reduction engine (cost-weighted factor)</t>
        </is>
      </c>
    </row>
    <row r="30">
      <c r="A30" s="8" t="inlineStr">
        <is>
          <t>Sensitivity</t>
        </is>
      </c>
      <c r="B30" s="3" t="inlineStr">
        <is>
          <t>SpaceX value across reduction tiers (10x/30x/100x/cost-weighted)</t>
        </is>
      </c>
    </row>
    <row r="31">
      <c r="A31" s="8" t="inlineStr">
        <is>
          <t>CostLadder</t>
        </is>
      </c>
      <c r="B31" s="3" t="inlineStr">
        <is>
          <t>own-silicon vs buy-NVIDIA vs rent $/GPU-hr</t>
        </is>
      </c>
    </row>
    <row r="32">
      <c r="A32" s="8" t="inlineStr">
        <is>
          <t>Evidence</t>
        </is>
      </c>
      <c r="B32" s="3" t="inlineStr">
        <is>
          <t>BOM cost split, accelerator-share data, own-silicon TCO, filing top-lines</t>
        </is>
      </c>
    </row>
    <row r="33">
      <c r="A33" s="8" t="inlineStr">
        <is>
          <t>Methodology</t>
        </is>
      </c>
      <c r="B33" s="3" t="inlineStr">
        <is>
          <t>step-by-step logic, caveats, sources</t>
        </is>
      </c>
    </row>
    <row r="35">
      <c r="A35" s="8" t="inlineStr">
        <is>
          <t>Legend: yellow = assumption / lever (each maps to a slider in the Streamlit app)  ·  green = disclosed filing or market data  ·  blue = derived formula.</t>
        </is>
      </c>
    </row>
  </sheetData>
  <mergeCells count="9">
    <mergeCell ref="B32:H32"/>
    <mergeCell ref="A35:H35"/>
    <mergeCell ref="A25:H25"/>
    <mergeCell ref="A2:H2"/>
    <mergeCell ref="B31:H31"/>
    <mergeCell ref="B30:H30"/>
    <mergeCell ref="B29:H29"/>
    <mergeCell ref="B33:H33"/>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88</v>
      </c>
      <c r="C3" s="1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6" t="n">
        <v>1</v>
      </c>
      <c r="C4" s="16" t="n">
        <v>1</v>
      </c>
      <c r="D4" s="3" t="inlineStr">
        <is>
          <t>strips non-AI (Amazon = AWS only)</t>
        </is>
      </c>
    </row>
    <row r="5">
      <c r="A5" t="inlineStr">
        <is>
          <t>Server / short-lived share</t>
        </is>
      </c>
      <c r="B5" s="16" t="n">
        <v>0.5</v>
      </c>
      <c r="C5" s="16" t="n">
        <v>0.67</v>
      </c>
      <c r="D5" s="3" t="inlineStr">
        <is>
          <t>CFO-disclosed (MSFT rose 50%-&gt;67%)</t>
        </is>
      </c>
    </row>
    <row r="6">
      <c r="A6" t="inlineStr">
        <is>
          <t>Accelerator share within servers</t>
        </is>
      </c>
      <c r="B6" s="16" t="n">
        <v>0.75</v>
      </c>
      <c r="C6" s="16" t="n">
        <v>0.75</v>
      </c>
      <c r="D6" s="3" t="inlineStr">
        <is>
          <t>from BOM teardowns (~67-80%)</t>
        </is>
      </c>
    </row>
    <row r="7">
      <c r="A7" t="inlineStr">
        <is>
          <t>Market cap ($B, approx)</t>
        </is>
      </c>
      <c r="B7" s="17"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30</v>
      </c>
      <c r="C32" s="15"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2" t="inlineStr">
        <is>
          <t>https://www.sec.gov/Archives/edgar/data/789019/000095017025100235/msft-20250630.htm</t>
        </is>
      </c>
    </row>
    <row r="42">
      <c r="A42" s="3" t="inlineStr">
        <is>
          <t>FY26 ~$190B guide; 'two-thirds' short-lived = GPUs+CPUs (Q3 FY26 call)</t>
        </is>
      </c>
      <c r="B42" s="22" t="inlineStr">
        <is>
          <t>https://www.fool.com/earnings/call-transcripts/2026/04/29/microsoft-msft-q3-2026-earnings-transcript/</t>
        </is>
      </c>
    </row>
    <row r="43">
      <c r="A43" s="3" t="inlineStr">
        <is>
          <t>AI revenue $37B annual run-rate (Q3 FY26)</t>
        </is>
      </c>
      <c r="B43" s="22" t="inlineStr">
        <is>
          <t>https://news.alphastreet.com/microsoft-msft-q3-fy2026-azure-hits-40-growth-as-ai-business-reaches-37-billion-run-rate/</t>
        </is>
      </c>
    </row>
    <row r="44">
      <c r="A44" s="3" t="inlineStr">
        <is>
          <t>~485k Hopper GPUs / ~$31B in 2024 (Omdia) - cross-checks accel capex</t>
        </is>
      </c>
      <c r="B44" s="22"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91.40000000000001</v>
      </c>
      <c r="C3" s="15" t="n">
        <v>185</v>
      </c>
      <c r="D3" s="3" t="inlineStr">
        <is>
          <t>FY25 capex $91.4B [DISCLOSED]; FY26 $180-190B guide. 60% servers / 40% DC (CFO). Accel ~67% [BOM]. AI rev ESTIMATE (Cloud $70B run-rate, AI subset).</t>
        </is>
      </c>
    </row>
    <row r="4">
      <c r="A4" t="inlineStr">
        <is>
          <t>Infra / data-center share</t>
        </is>
      </c>
      <c r="B4" s="16" t="n">
        <v>1</v>
      </c>
      <c r="C4" s="16" t="n">
        <v>1</v>
      </c>
      <c r="D4" s="3" t="inlineStr">
        <is>
          <t>strips non-AI (Amazon = AWS only)</t>
        </is>
      </c>
    </row>
    <row r="5">
      <c r="A5" t="inlineStr">
        <is>
          <t>Server / short-lived share</t>
        </is>
      </c>
      <c r="B5" s="16" t="n">
        <v>0.6</v>
      </c>
      <c r="C5" s="16" t="n">
        <v>0.6</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25</v>
      </c>
      <c r="C32" s="15"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2" t="inlineStr">
        <is>
          <t>https://www.fool.com/earnings/call-transcripts/2026/02/04/alphabet-googl-q4-2025-earnings-call-transcript/</t>
        </is>
      </c>
    </row>
    <row r="42">
      <c r="A42" s="3" t="inlineStr">
        <is>
          <t>FY26 guide $180-190B (Q1'26)</t>
        </is>
      </c>
      <c r="B42" s="22" t="inlineStr">
        <is>
          <t>https://www.cnbc.com/2026/04/29/alphabet-googl-q1-2026-earnings.html</t>
        </is>
      </c>
    </row>
    <row r="43">
      <c r="A43" s="3" t="inlineStr">
        <is>
          <t>Server life 6yr; TPU at-cost TCO 20-50% below NVIDIA (SemiAnalysis)</t>
        </is>
      </c>
      <c r="B43" s="22"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128.3</v>
      </c>
      <c r="C3" s="15" t="n">
        <v>220</v>
      </c>
      <c r="D3" s="3" t="inlineStr">
        <is>
          <t>FY25 cash capex $128.3B [DISCLOSED]; FY26 raised to ~$220B (Q2'26, 2026-07-30). AWS ~68-70% -&gt; strips fulfillment. Accel ~67% [BOM]. AI rev &gt;$15B AWS run-rate (Q1 FY26, Jassy).</t>
        </is>
      </c>
    </row>
    <row r="4">
      <c r="A4" t="inlineStr">
        <is>
          <t>Infra / data-center share</t>
        </is>
      </c>
      <c r="B4" s="16" t="n">
        <v>0.68</v>
      </c>
      <c r="C4" s="16" t="n">
        <v>0.7</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12</v>
      </c>
      <c r="C32" s="15"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2" t="inlineStr">
        <is>
          <t>https://www.sec.gov/Archives/edgar/data/1018724/000101872426000004/amzn-20251231.htm</t>
        </is>
      </c>
    </row>
    <row r="42">
      <c r="A42" s="3" t="inlineStr">
        <is>
          <t>~$200B 2026 capex, 'predominantly AWS' (Q4'25 call)</t>
        </is>
      </c>
      <c r="B42" s="22" t="inlineStr">
        <is>
          <t>https://www.fool.com/earnings/call-transcripts/2026/02/05/amazon-amzn-q4-2025-earnings-call-transcript/</t>
        </is>
      </c>
    </row>
    <row r="43">
      <c r="A43" s="3" t="inlineStr">
        <is>
          <t>AWS AI revenue &gt;$15B annual run-rate (Q1'26, Jassy)</t>
        </is>
      </c>
      <c r="B43" s="22"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72.2</v>
      </c>
      <c r="C3" s="15" t="n">
        <v>137.5</v>
      </c>
      <c r="D3" s="3" t="inlineStr">
        <is>
          <t>FY25 capex incl leases $72.2B [DISCLOSED]; FY26 $130-145B guide (mid 137.5). Accel ~74% [BOM]. AI rev DIRECT est ~$4B -- Meta's real AI payoff is INDIRECT ad-uplift (~$20B), not counted.</t>
        </is>
      </c>
    </row>
    <row r="4">
      <c r="A4" t="inlineStr">
        <is>
          <t>Infra / data-center share</t>
        </is>
      </c>
      <c r="B4" s="16" t="n">
        <v>1</v>
      </c>
      <c r="C4" s="16" t="n">
        <v>1</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0.74</v>
      </c>
      <c r="C6" s="16" t="n">
        <v>0.74</v>
      </c>
      <c r="D6" s="3" t="inlineStr">
        <is>
          <t>from BOM teardowns (~67-80%)</t>
        </is>
      </c>
    </row>
    <row r="7">
      <c r="A7" t="inlineStr">
        <is>
          <t>Market cap ($B, approx)</t>
        </is>
      </c>
      <c r="B7" s="17"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4</v>
      </c>
      <c r="C32" s="15"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2" t="inlineStr">
        <is>
          <t>https://investor.atmeta.com/investor-news/press-release-details/2026/Meta-Reports-Fourth-Quarter-and-Full-Year-2025-Results/default.aspx</t>
        </is>
      </c>
    </row>
    <row r="42">
      <c r="A42" s="3" t="inlineStr">
        <is>
          <t>FY26 $125-145B guide; raise driven by HBM pricing (Q1'26 call)</t>
        </is>
      </c>
      <c r="B42" s="22" t="inlineStr">
        <is>
          <t>https://www.fool.com/earnings/call-transcripts/2026/04/29/meta-meta-q1-2026-earnings-call-transcript/</t>
        </is>
      </c>
    </row>
    <row r="43">
      <c r="A43" s="3" t="inlineStr">
        <is>
          <t>&gt;1.3M GPUs by end-2025 (Zuckerberg) - cross-checks accel capex</t>
        </is>
      </c>
      <c r="B43" s="22" t="inlineStr">
        <is>
          <t>https://techcrunch.com/2025/01/24/mark-zuckerberg-says-meta-will-have-1-3m-gpus-for-ai-by-year-end/</t>
        </is>
      </c>
    </row>
    <row r="44">
      <c r="A44" s="3" t="inlineStr">
        <is>
          <t>Server life 5.5yr (-$2.9B depreciation)</t>
        </is>
      </c>
      <c r="B44" s="22" t="inlineStr">
        <is>
          <t>https://www.thestack.technology/meta-extends-server-life-again-saving-it-2-9-billion/</t>
        </is>
      </c>
    </row>
    <row r="45">
      <c r="A45" s="3" t="inlineStr">
        <is>
          <t>~25% of capex to NVIDIA (Bloomberg) - accel-share basis</t>
        </is>
      </c>
      <c r="B45" s="22"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21.2</v>
      </c>
      <c r="C3" s="15"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6" t="n">
        <v>0.85</v>
      </c>
      <c r="C4" s="16" t="n">
        <v>0.9</v>
      </c>
      <c r="D4" s="3" t="inlineStr">
        <is>
          <t>strips non-AI (Amazon = AWS only)</t>
        </is>
      </c>
    </row>
    <row r="5">
      <c r="A5" t="inlineStr">
        <is>
          <t>Server / short-lived share</t>
        </is>
      </c>
      <c r="B5" s="16" t="n">
        <v>0.75</v>
      </c>
      <c r="C5" s="16" t="n">
        <v>0.75</v>
      </c>
      <c r="D5" s="3" t="inlineStr">
        <is>
          <t>CFO-disclosed (MSFT rose 50%-&gt;67%)</t>
        </is>
      </c>
    </row>
    <row r="6">
      <c r="A6" t="inlineStr">
        <is>
          <t>Accelerator share within servers</t>
        </is>
      </c>
      <c r="B6" s="16" t="n">
        <v>0.7</v>
      </c>
      <c r="C6" s="16" t="n">
        <v>0.7</v>
      </c>
      <c r="D6" s="3" t="inlineStr">
        <is>
          <t>from BOM teardowns (~67-80%)</t>
        </is>
      </c>
    </row>
    <row r="7">
      <c r="A7" t="inlineStr">
        <is>
          <t>Market cap ($B, approx)</t>
        </is>
      </c>
      <c r="B7" s="17"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8</v>
      </c>
      <c r="C32" s="15"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2" t="inlineStr">
        <is>
          <t>https://www.ciodive.com/news/oracle-capex-spike-cloud-ai-data-center/807721/</t>
        </is>
      </c>
    </row>
    <row r="42">
      <c r="A42" s="3" t="inlineStr">
        <is>
          <t>OCI run-rate ~$27B exiting FY25; IaaS $3.0B Q4 +52%; RPO $138B (Q4 FY25)</t>
        </is>
      </c>
      <c r="B42" s="22" t="inlineStr">
        <is>
          <t>https://futurumgroup.com/insights/oracle-delivers-q4-fy-2025-results-with-27-cloud-growth-rpo-hits-138-billion/</t>
        </is>
      </c>
    </row>
    <row r="43">
      <c r="A43" s="3" t="inlineStr">
        <is>
          <t>FY26 OCI +77% to ~$18B; RPO $523B +433% on AI deals (Q2 FY26)</t>
        </is>
      </c>
      <c r="B43" s="22"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12.7</v>
      </c>
      <c r="C3" s="1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6" t="n">
        <v>1</v>
      </c>
      <c r="C4" s="16" t="n">
        <v>1</v>
      </c>
      <c r="D4" s="3" t="inlineStr">
        <is>
          <t>strips non-AI (Amazon = AWS only)</t>
        </is>
      </c>
    </row>
    <row r="5">
      <c r="A5" t="inlineStr">
        <is>
          <t>Server / short-lived share</t>
        </is>
      </c>
      <c r="B5" s="16" t="n">
        <v>0.79</v>
      </c>
      <c r="C5" s="16" t="n">
        <v>0.79</v>
      </c>
      <c r="D5" s="3" t="inlineStr">
        <is>
          <t>CFO-disclosed (MSFT rose 50%-&gt;67%)</t>
        </is>
      </c>
    </row>
    <row r="6">
      <c r="A6" t="inlineStr">
        <is>
          <t>Accelerator share within servers</t>
        </is>
      </c>
      <c r="B6" s="16" t="n">
        <v>1</v>
      </c>
      <c r="C6" s="16" t="n">
        <v>1</v>
      </c>
      <c r="D6" s="3" t="inlineStr">
        <is>
          <t>from BOM teardowns (~67-80%)</t>
        </is>
      </c>
    </row>
    <row r="7">
      <c r="A7" t="inlineStr">
        <is>
          <t>Market cap ($B, approx)</t>
        </is>
      </c>
      <c r="B7" s="17"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0.3</v>
      </c>
      <c r="C32" s="15"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2" t="inlineStr">
        <is>
          <t>https://www.sec.gov/Archives/edgar/data/1181412/000162828026036936/spaceexplorationtechnologi.htm</t>
        </is>
      </c>
    </row>
    <row r="42">
      <c r="A42" s="3" t="inlineStr">
        <is>
          <t>S-1 financials &amp; AI breakdown (Hargreaves Lansdown)</t>
        </is>
      </c>
      <c r="B42" s="22" t="inlineStr">
        <is>
          <t>https://www.hl.co.uk/news/inside-spacexs-ipo-filing-revenue-starlink-ai-and-key-financials</t>
        </is>
      </c>
    </row>
    <row r="43">
      <c r="A43" s="3" t="inlineStr">
        <is>
          <t>$12.7B AI capex = ~60% of capex; COLOSSUS buildout (Investing.com)</t>
        </is>
      </c>
      <c r="B43" s="22" t="inlineStr">
        <is>
          <t>https://www.investing.com/analysis/spacex-is-quietly-becoming-an-ai-compute-and-orbital-infrastructure-company-200681776</t>
        </is>
      </c>
    </row>
    <row r="44">
      <c r="A44" s="3" t="inlineStr">
        <is>
          <t>AI1 orbital data centers; Anthropic as compute customer (DCD)</t>
        </is>
      </c>
      <c r="B44" s="22"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3" t="n">
        <v>100</v>
      </c>
      <c r="C2" t="inlineStr">
        <is>
          <t>x</t>
        </is>
      </c>
      <c r="D2" s="3" t="inlineStr">
        <is>
          <t>1e-2 memory = 100x less (RNN O(1) state vs transformer O(T) KV cache).</t>
        </is>
      </c>
    </row>
    <row r="3">
      <c r="A3" t="inlineStr">
        <is>
          <t>FLOPs reduction factor</t>
        </is>
      </c>
      <c r="B3" s="23">
        <f>$B$24</f>
        <v/>
      </c>
      <c r="C3" t="inlineStr">
        <is>
          <t>x</t>
        </is>
      </c>
      <c r="D3" s="3" t="inlineStr">
        <is>
          <t>TODAY scenario (default) = x9.24: the measured workload blend x2.19 (10:1 input:output, 64k context; prefill x1.17, decode x2.20 on the memory ceiling; training excluded) x the fit-derived equal-quality parameter ratio x4.22 at 1T (rows 23-25 below). Overtype with =B25 for the CEILING scenario (x24.8 = measured prefill x4.02 x 6.17 campaign speedup), or any number. See ServingTraining for the blend.</t>
        </is>
      </c>
    </row>
    <row r="4">
      <c r="A4" t="inlineStr">
        <is>
          <t>Memory share of GPU cost (BOM)</t>
        </is>
      </c>
      <c r="B4" s="24" t="n">
        <v>0.6</v>
      </c>
      <c r="C4" t="inlineStr">
        <is>
          <t>frac</t>
        </is>
      </c>
      <c r="D4" s="3" t="inlineStr">
        <is>
          <t>HBM ~45% of B200 COGS + most CoWoS packaging -&gt; ~60% memory / ~40% compute. See Evidence.</t>
        </is>
      </c>
    </row>
    <row r="5">
      <c r="A5" t="inlineStr">
        <is>
          <t>Opex / energy reduction factor</t>
        </is>
      </c>
      <c r="B5" s="23">
        <f>B20</f>
        <v/>
      </c>
      <c r="C5" t="inlineStr">
        <is>
          <t>x</t>
        </is>
      </c>
      <c r="D5" s="3" t="inlineStr">
        <is>
          <t>DERIVED default = cost-weighted reduction (B20): energy splits memory/compute like cost. Overtype this cell to override.</t>
        </is>
      </c>
    </row>
    <row r="6">
      <c r="A6" t="inlineStr">
        <is>
          <t>Discount rate</t>
        </is>
      </c>
      <c r="B6" s="24" t="n">
        <v>0.06</v>
      </c>
      <c r="C6" t="inlineStr">
        <is>
          <t>frac</t>
        </is>
      </c>
      <c r="D6" s="3" t="inlineStr">
        <is>
          <t>Perpetuity capitalization: value = annual benefit / rate (=16.7x at 6%).</t>
        </is>
      </c>
    </row>
    <row r="7">
      <c r="A7" t="inlineStr">
        <is>
          <t>Fully-loaded cost per GPU</t>
        </is>
      </c>
      <c r="B7" s="25" t="n">
        <v>50000</v>
      </c>
      <c r="C7" t="inlineStr">
        <is>
          <t>$</t>
        </is>
      </c>
      <c r="D7" s="3" t="inlineStr">
        <is>
          <t>B200-class GPU + share of server, NVLink, networking.</t>
        </is>
      </c>
    </row>
    <row r="8">
      <c r="A8" t="inlineStr">
        <is>
          <t>Wall power per GPU</t>
        </is>
      </c>
      <c r="B8" s="23" t="n">
        <v>1.8</v>
      </c>
      <c r="C8" t="inlineStr">
        <is>
          <t>kW</t>
        </is>
      </c>
      <c r="D8" s="3" t="inlineStr">
        <is>
          <t>~1 kW TDP + node overhead x PUE 1.3.</t>
        </is>
      </c>
    </row>
    <row r="9">
      <c r="A9" t="inlineStr">
        <is>
          <t>Electricity rate</t>
        </is>
      </c>
      <c r="B9" s="23" t="n">
        <v>0.08</v>
      </c>
      <c r="C9" t="inlineStr">
        <is>
          <t>$/kWh</t>
        </is>
      </c>
      <c r="D9" s="3" t="inlineStr">
        <is>
          <t>Datacenter wholesale; raise to 0.10-0.12 for grid colo.</t>
        </is>
      </c>
    </row>
    <row r="10">
      <c r="A10" t="inlineStr">
        <is>
          <t>Cooling/ops overhead on energy</t>
        </is>
      </c>
      <c r="B10" s="24" t="n">
        <v>0.25</v>
      </c>
      <c r="C10" t="inlineStr">
        <is>
          <t>frac</t>
        </is>
      </c>
      <c r="D10" s="3" t="inlineStr">
        <is>
          <t>Non-power running cost as fraction of electricity.</t>
        </is>
      </c>
    </row>
    <row r="11">
      <c r="A11" t="inlineStr">
        <is>
          <t>Fleet useful life</t>
        </is>
      </c>
      <c r="B11" s="23" t="n">
        <v>4</v>
      </c>
      <c r="C11" t="inlineStr">
        <is>
          <t>yr</t>
        </is>
      </c>
      <c r="D11" s="3" t="inlineStr">
        <is>
          <t>AI-GPU depreciation life.</t>
        </is>
      </c>
    </row>
    <row r="12">
      <c r="A12" t="inlineStr">
        <is>
          <t>SpaceX market cap</t>
        </is>
      </c>
      <c r="B12" s="26" t="n">
        <v>1950</v>
      </c>
      <c r="C12" t="inlineStr">
        <is>
          <t>$B</t>
        </is>
      </c>
      <c r="D12" s="3" t="inlineStr">
        <is>
          <t>~$1.84T Aug 2026; IPO 2026-06-12 at ~$1.77T (market data; used by Sensitivity).</t>
        </is>
      </c>
    </row>
    <row r="13">
      <c r="A13" t="inlineStr">
        <is>
          <t>Datacenter scaling factor</t>
        </is>
      </c>
      <c r="B13" s="24"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4"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1">
        <f>1-B4</f>
        <v/>
      </c>
      <c r="D16" s="3" t="inlineStr">
        <is>
          <t>1 - memory share</t>
        </is>
      </c>
    </row>
    <row r="17">
      <c r="A17" t="inlineStr">
        <is>
          <t>Memory cost fraction after reduction</t>
        </is>
      </c>
      <c r="B17" s="27">
        <f>B4/B2</f>
        <v/>
      </c>
      <c r="D17" s="3" t="inlineStr">
        <is>
          <t>memory share / memory reduction</t>
        </is>
      </c>
    </row>
    <row r="18">
      <c r="A18" t="inlineStr">
        <is>
          <t>Compute cost fraction after reduction</t>
        </is>
      </c>
      <c r="B18" s="27">
        <f>B16/B3</f>
        <v/>
      </c>
      <c r="D18" s="3" t="inlineStr">
        <is>
          <t>compute share / FLOPs reduction</t>
        </is>
      </c>
    </row>
    <row r="19">
      <c r="A19" t="inlineStr">
        <is>
          <t>Residual cost fraction</t>
        </is>
      </c>
      <c r="B19" s="21">
        <f>B17+B18</f>
        <v/>
      </c>
      <c r="D19" s="3" t="inlineStr">
        <is>
          <t>Amdahl: floored by the least-reduced component</t>
        </is>
      </c>
    </row>
    <row r="20">
      <c r="A20" s="8" t="inlineStr">
        <is>
          <t>COST-WEIGHTED reduction factor</t>
        </is>
      </c>
      <c r="B20" s="12">
        <f>1/B19</f>
        <v/>
      </c>
      <c r="C20" t="inlineStr">
        <is>
          <t>x</t>
        </is>
      </c>
      <c r="D20" s="3" t="inlineStr">
        <is>
          <t>1 / residual. The realistic $ reduction used everywhere.</t>
        </is>
      </c>
    </row>
    <row r="22">
      <c r="A22" s="1" t="inlineStr">
        <is>
          <t>SCENARIOS (2026-08-17 ruling) — TODAY (default) vs CEILING</t>
        </is>
      </c>
      <c r="B22" s="2" t="n"/>
      <c r="C22" s="2" t="n"/>
      <c r="D22" s="2" t="n"/>
    </row>
    <row r="23">
      <c r="A23" t="inlineStr">
        <is>
          <t>Equal-quality parameter ratio at 1T</t>
        </is>
      </c>
      <c r="B23" s="2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blend x ratio</t>
        </is>
      </c>
      <c r="B24" s="29">
        <f>ServingTraining!$B$28*$B$23</f>
        <v/>
      </c>
      <c r="C24" t="inlineStr">
        <is>
          <t>x</t>
        </is>
      </c>
      <c r="D24" s="3" t="inlineStr">
        <is>
          <t>B3 (the FLOPs lever) points here by default.</t>
        </is>
      </c>
    </row>
    <row r="25">
      <c r="A25" t="inlineStr">
        <is>
          <t>CEILING compute lever</t>
        </is>
      </c>
      <c r="B25" s="28" t="n">
        <v>24.76925854923629</v>
      </c>
      <c r="C25" t="inlineStr">
        <is>
          <t>x</t>
        </is>
      </c>
      <c r="D25" s="3" t="inlineStr">
        <is>
          <t>Measured prefill x4.02 (bf16 parameter-matched, d512/1M, 2026-07-21) x 6.17 campaign speedup. RE-BASED 2026-08-24, AGAIN 2026-08-25: that factor is x3.452 MEASURED (already banked: our own step went 400.4 -&gt; 116.0 ms at B16/T2048; 2026-08-25 ledger-of-record 2k receipt) x x1.786 TARGET (the funded 8k-win gate, no receipt yet); it was a flat x5.5 assumption before. Overtype B3 with =B25 to run the workbook at the ceiling (~45x cost-weighted).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s>
  <sheetData>
    <row r="1">
      <c r="A1" s="1" t="inlineStr">
        <is>
          <t>SENSITIVITY (SpaceX) — TODAY vs CEILING vs live cost-weighted</t>
        </is>
      </c>
      <c r="B1" s="2" t="n"/>
      <c r="C1" s="2" t="n"/>
      <c r="D1" s="2" t="n"/>
      <c r="E1" s="2" t="n"/>
    </row>
    <row r="2">
      <c r="A2" s="8" t="inlineStr">
        <is>
          <t>Metric</t>
        </is>
      </c>
      <c r="B2" s="4" t="inlineStr">
        <is>
          <t>TODAY (~20x)</t>
        </is>
      </c>
      <c r="C2" s="4" t="inlineStr">
        <is>
          <t>CEILING (~45x)</t>
        </is>
      </c>
      <c r="D2" s="4" t="inlineStr">
        <is>
          <t>Cost-weighted (live)</t>
        </is>
      </c>
    </row>
    <row r="3">
      <c r="A3" t="inlineStr">
        <is>
          <t>Efficient acquisition ($B)</t>
        </is>
      </c>
      <c r="B3" s="19">
        <f>SpaceX!$B$12/(1/(Inputs!$B$4/Inputs!$B$2+(1-Inputs!$B$4)/Inputs!$B$24))</f>
        <v/>
      </c>
      <c r="C3" s="19">
        <f>SpaceX!$B$12/(1/(Inputs!$B$4/Inputs!$B$2+(1-Inputs!$B$4)/Inputs!$B$25))</f>
        <v/>
      </c>
      <c r="D3" s="19">
        <f>SpaceX!$B$12/(Inputs!$B$20)</f>
        <v/>
      </c>
    </row>
    <row r="4">
      <c r="A4" t="inlineStr">
        <is>
          <t>Capex avoided/yr ($B)</t>
        </is>
      </c>
      <c r="B4" s="19">
        <f>SpaceX!$B$12-SpaceX!$B$12/(1/(Inputs!$B$4/Inputs!$B$2+(1-Inputs!$B$4)/Inputs!$B$24))</f>
        <v/>
      </c>
      <c r="C4" s="19">
        <f>SpaceX!$B$12-SpaceX!$B$12/(1/(Inputs!$B$4/Inputs!$B$2+(1-Inputs!$B$4)/Inputs!$B$25))</f>
        <v/>
      </c>
      <c r="D4" s="19">
        <f>SpaceX!$B$12-SpaceX!$B$12/(Inputs!$B$20)</f>
        <v/>
      </c>
    </row>
    <row r="5">
      <c r="A5" t="inlineStr">
        <is>
          <t>Annual opex savings ($M)</t>
        </is>
      </c>
      <c r="B5" s="5">
        <f>SpaceX!$B$26</f>
        <v/>
      </c>
      <c r="C5" s="5">
        <f>SpaceX!$B$26</f>
        <v/>
      </c>
      <c r="D5" s="5">
        <f>SpaceX!$B$26</f>
        <v/>
      </c>
    </row>
    <row r="6">
      <c r="A6" t="inlineStr">
        <is>
          <t>Sustained annual benefit ($B)</t>
        </is>
      </c>
      <c r="B6" s="19">
        <f>(SpaceX!$B$12-SpaceX!$B$12/(1/(Inputs!$B$4/Inputs!$B$2+(1-Inputs!$B$4)/Inputs!$B$24)))+SpaceX!$B$26/1000</f>
        <v/>
      </c>
      <c r="C6" s="19">
        <f>(SpaceX!$B$12-SpaceX!$B$12/(1/(Inputs!$B$4/Inputs!$B$2+(1-Inputs!$B$4)/Inputs!$B$25)))+SpaceX!$B$26/1000</f>
        <v/>
      </c>
      <c r="D6" s="19">
        <f>(SpaceX!$B$12-SpaceX!$B$12/(Inputs!$B$20))+SpaceX!$B$26/1000</f>
        <v/>
      </c>
    </row>
    <row r="7">
      <c r="A7" t="inlineStr">
        <is>
          <t>Capitalized value ($B)</t>
        </is>
      </c>
      <c r="B7" s="18">
        <f>((SpaceX!$B$12-SpaceX!$B$12/(1/(Inputs!$B$4/Inputs!$B$2+(1-Inputs!$B$4)/Inputs!$B$24)))+SpaceX!$B$26/1000)/Inputs!$B$6</f>
        <v/>
      </c>
      <c r="C7" s="18">
        <f>((SpaceX!$B$12-SpaceX!$B$12/(1/(Inputs!$B$4/Inputs!$B$2+(1-Inputs!$B$4)/Inputs!$B$25)))+SpaceX!$B$26/1000)/Inputs!$B$6</f>
        <v/>
      </c>
      <c r="D7" s="18">
        <f>((SpaceX!$B$12-SpaceX!$B$12/(Inputs!$B$20))+SpaceX!$B$26/1000)/Inputs!$B$6</f>
        <v/>
      </c>
    </row>
    <row r="8">
      <c r="A8" t="inlineStr">
        <is>
          <t>% of market cap</t>
        </is>
      </c>
      <c r="B8" s="21">
        <f>(((SpaceX!$B$12-SpaceX!$B$12/(1/(Inputs!$B$4/Inputs!$B$2+(1-Inputs!$B$4)/Inputs!$B$24)))+SpaceX!$B$26/1000)/Inputs!$B$6)/Inputs!$B$12</f>
        <v/>
      </c>
      <c r="C8" s="21">
        <f>(((SpaceX!$B$12-SpaceX!$B$12/(1/(Inputs!$B$4/Inputs!$B$2+(1-Inputs!$B$4)/Inputs!$B$25)))+SpaceX!$B$26/1000)/Inputs!$B$6)/Inputs!$B$12</f>
        <v/>
      </c>
      <c r="D8" s="21">
        <f>(((SpaceX!$B$12-SpaceX!$B$12/(Inputs!$B$20))+SpaceX!$B$26/1000)/Inputs!$B$6)/Inputs!$B$12</f>
        <v/>
      </c>
    </row>
    <row r="10">
      <c r="A10" s="3" t="inlineStr">
        <is>
          <t>Base = SpaceX accelerator capex (SpaceX!B12), not total capex. The 'Cost-weighted' column ties to the SpaceX tab (B25/B27) at the conservative dc_scale=0.</t>
        </is>
      </c>
    </row>
  </sheetData>
  <mergeCells count="1">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0" t="n">
        <v>0.9</v>
      </c>
      <c r="C3" s="30" t="n">
        <v>1.4</v>
      </c>
      <c r="D3" s="3" t="inlineStr">
        <is>
          <t>COGS + modest Broadcom/Marvell margin + power + DC. NO NVIDIA margin.</t>
        </is>
      </c>
    </row>
    <row r="4">
      <c r="A4" t="inlineStr">
        <is>
          <t>Buy + operate NVIDIA (scale)</t>
        </is>
      </c>
      <c r="B4" s="30" t="n">
        <v>1.5</v>
      </c>
      <c r="C4" s="30" t="n">
        <v>2</v>
      </c>
      <c r="D4" s="3" t="inlineStr">
        <is>
          <t>NVIDIA ~84% gross margin baked into capex + power + DC.</t>
        </is>
      </c>
    </row>
    <row r="5">
      <c r="A5" t="inlineStr">
        <is>
          <t>Rent NVIDIA - neocloud / committed</t>
        </is>
      </c>
      <c r="B5" s="30" t="n">
        <v>2</v>
      </c>
      <c r="C5" s="30" t="n">
        <v>3.5</v>
      </c>
      <c r="D5" s="3" t="inlineStr">
        <is>
          <t>+ cloud provider capex recovery &amp; margin.</t>
        </is>
      </c>
    </row>
    <row r="6">
      <c r="A6" t="inlineStr">
        <is>
          <t>Rent NVIDIA - hyperscaler on-demand</t>
        </is>
      </c>
      <c r="B6" s="30" t="n">
        <v>3</v>
      </c>
      <c r="C6" s="30" t="n">
        <v>7</v>
      </c>
      <c r="D6" s="3" t="inlineStr">
        <is>
          <t>+ utilization risk + flexibility premium (new B200 to ~$14).</t>
        </is>
      </c>
    </row>
    <row r="8">
      <c r="A8" s="1" t="inlineStr">
        <is>
          <t>OWNED-NVIDIA TCO CROSS-CHECK (from Inputs)</t>
        </is>
      </c>
      <c r="B8" s="2" t="n"/>
      <c r="C8" s="2" t="n"/>
      <c r="D8" s="2" t="n"/>
    </row>
    <row r="9">
      <c r="A9" t="inlineStr">
        <is>
          <t>Utilization</t>
        </is>
      </c>
      <c r="B9" s="16" t="n">
        <v>0.85</v>
      </c>
    </row>
    <row r="10">
      <c r="A10" t="inlineStr">
        <is>
          <t>Capex $/hr</t>
        </is>
      </c>
      <c r="B10" s="19">
        <f>Inputs!$B$7/(Inputs!$B$11*8760*B9)</f>
        <v/>
      </c>
      <c r="D10" s="3" t="inlineStr">
        <is>
          <t>fully-loaded $/GPU / (life x 8760h x utilization)</t>
        </is>
      </c>
    </row>
    <row r="11">
      <c r="A11" t="inlineStr">
        <is>
          <t>Power $/hr</t>
        </is>
      </c>
      <c r="B11" s="19">
        <f>Inputs!$B$8*Inputs!$B$9</f>
        <v/>
      </c>
      <c r="D11" s="3" t="inlineStr">
        <is>
          <t>wall kW x $/kWh</t>
        </is>
      </c>
    </row>
    <row r="12">
      <c r="A12" t="inlineStr">
        <is>
          <t>DC/staff adder $/hr</t>
        </is>
      </c>
      <c r="B12" s="28" t="n">
        <v>0.3</v>
      </c>
    </row>
    <row r="13">
      <c r="A13" s="8" t="inlineStr">
        <is>
          <t>Owned TCO $/hr</t>
        </is>
      </c>
      <c r="B13" s="29">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edit the yellow cells; every sheet recomputes</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3" t="n">
        <v>10</v>
      </c>
      <c r="F7" s="3" t="inlineStr">
        <is>
          <t>~10:1 = code / reasoning / agent traces. 50-100:1 = RAG and document QA.</t>
        </is>
      </c>
    </row>
    <row r="8">
      <c r="A8" t="inlineStr">
        <is>
          <t>E[context] (tokens)</t>
        </is>
      </c>
      <c r="B8" s="25" t="n">
        <v>65536</v>
      </c>
      <c r="F8" s="3" t="inlineStr">
        <is>
          <t>Our decode cost is context-flat and the transformer's is linear, so the decode advantage is linear in this.</t>
        </is>
      </c>
    </row>
    <row r="9">
      <c r="A9" t="inlineStr">
        <is>
          <t>Training share of accelerator cost</t>
        </is>
      </c>
      <c r="B9" s="28"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7" t="n">
        <v>4496.668604837461</v>
      </c>
    </row>
    <row r="13">
      <c r="A13" t="inlineStr">
        <is>
          <t>KV MB per token per stream</t>
        </is>
      </c>
      <c r="B13" s="31" t="n">
        <v>0.15234375</v>
      </c>
    </row>
    <row r="14">
      <c r="A14" t="inlineStr">
        <is>
          <t>HBM TB/s per GPU</t>
        </is>
      </c>
      <c r="B14" s="28" t="n">
        <v>3.35</v>
      </c>
    </row>
    <row r="15">
      <c r="A15" t="inlineStr">
        <is>
          <t>Transformer KV compression (mature stack)</t>
        </is>
      </c>
      <c r="B15" s="23" t="n">
        <v>1</v>
      </c>
    </row>
    <row r="16">
      <c r="A16" t="inlineStr">
        <is>
          <t>GPUs per box</t>
        </is>
      </c>
      <c r="B16" s="32" t="n">
        <v>8</v>
      </c>
    </row>
    <row r="17">
      <c r="A17" t="inlineStr">
        <is>
          <t>Training advantage, short sequence (owned / transformer)</t>
        </is>
      </c>
      <c r="B17" s="33" t="n">
        <v>0.5169883870300283</v>
      </c>
      <c r="F17" s="3" t="inlineStr">
        <is>
          <t>RE-BASED 2026-08-24/25 (1 x GH200, ONE layer, fwd+bwd, bf16, checkpointing off both arms, modern transformer block 24Q/4KV head_dim 256 RoPE 64 gated): transformer is 1.93x faster at T=2,048 (116.0 vs 60.0 ms/step) and 1.79x at T=8,192; the equal-token B4/T32,768 ~parity cell is RETIRED 2026-08-25 as a B4 occupancy artifact, and the flat per-token model puts the crossover at a PROJECTED T~16,943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19">
        <f>$B$8*$B$13/1024</f>
        <v/>
      </c>
    </row>
    <row r="21">
      <c r="A21" t="inlineStr">
        <is>
          <t>KV GB per stream, compressed</t>
        </is>
      </c>
      <c r="B21" s="34">
        <f>$B$20/$B$15</f>
        <v/>
      </c>
    </row>
    <row r="22">
      <c r="A22" t="inlineStr">
        <is>
          <t>Transformer decode, tokens/s/box</t>
        </is>
      </c>
      <c r="B22" s="18">
        <f>511.8416*32768/$B$8*$B$15*$B$16</f>
        <v/>
      </c>
      <c r="F22" s="3" t="inlineStr">
        <is>
          <t>MEASURED 1/context law (2026-08-14 re-base): 511.84 tok/s/GPU at 32,768 ctx x 32768/E[context] x KV-compression x GPUs. Crosses our flat 562/GPU near ~30k context.</t>
        </is>
      </c>
    </row>
    <row r="23">
      <c r="A23" t="inlineStr">
        <is>
          <t>Prefill table row (lookup)</t>
        </is>
      </c>
      <c r="B23" s="35">
        <f>MATCH($B$8,$A$33:$A$39,1)</f>
        <v/>
      </c>
    </row>
    <row r="24">
      <c r="A24" t="inlineStr">
        <is>
          <t>Prefill tokens/s/box — transformer</t>
        </is>
      </c>
      <c r="B24" s="18">
        <f>IF(INDEX($B$33:$B$39,MIN($B$23+1,7))=INDEX($B$33:$B$39,$B$23),INDEX($B$33:$B$39,$B$23),EXP(LN(INDEX($B$33:$B$39,$B$23))+(LN($B$8)-LN(INDEX($A$33:$A$39,$B$23)))/(LN(INDEX($A$33:$A$39,MIN($B$23+1,7)))-LN(INDEX($A$33:$A$39,$B$23)))*(LN(INDEX($B$33:$B$39,MIN($B$23+1,7)))-LN(INDEX($B$33:$B$39,$B$23)))))*$B$16</f>
        <v/>
      </c>
    </row>
    <row r="25">
      <c r="A25" t="inlineStr">
        <is>
          <t>Prefill tokens/s/box — owned</t>
        </is>
      </c>
      <c r="B25" s="18">
        <f>IF(INDEX($C$33:$C$39,MIN($B$23+1,7))=INDEX($C$33:$C$39,$B$23),INDEX($C$33:$C$39,$B$23),EXP(LN(INDEX($C$33:$C$39,$B$23))+(LN($B$8)-LN(INDEX($A$33:$A$39,$B$23)))/(LN(INDEX($A$33:$A$39,MIN($B$23+1,7)))-LN(INDEX($A$33:$A$39,$B$23)))*(LN(INDEX($C$33:$C$39,MIN($B$23+1,7)))-LN(INDEX($C$33:$C$39,$B$23)))))*$B$16</f>
        <v/>
      </c>
    </row>
    <row r="26">
      <c r="A26" t="inlineStr">
        <is>
          <t>Transformer seconds per generated token</t>
        </is>
      </c>
      <c r="B26" s="36">
        <f>$B$7/$B$24+1/$B$22</f>
        <v/>
      </c>
    </row>
    <row r="27">
      <c r="A27" t="inlineStr">
        <is>
          <t>Owned seconds per generated token</t>
        </is>
      </c>
      <c r="B27" s="36">
        <f>$B$7/$B$25+1/$B$12</f>
        <v/>
      </c>
    </row>
    <row r="28">
      <c r="A28" s="8" t="inlineStr">
        <is>
          <t>BLENDED COMPUTE LEVER (flop_factor)</t>
        </is>
      </c>
      <c r="B28" s="29">
        <f>IF($B$9&gt;0,1/($B$9/$B$17+(1-$B$9)/($B$26/$B$27)),$B$26/$B$27)</f>
        <v/>
      </c>
      <c r="F28" s="3" t="inlineStr">
        <is>
          <t>Inputs!B24 (TODAY lever) = this x the equal-quality parameter ratio; Inputs!B3 follows it, so this drives the whole workbook.</t>
        </is>
      </c>
    </row>
    <row r="29">
      <c r="A29" t="inlineStr">
        <is>
          <t xml:space="preserve">  of which: prefill advantage</t>
        </is>
      </c>
      <c r="B29" s="19">
        <f>($B$7/$B$24)/($B$7/$B$25)</f>
        <v/>
      </c>
    </row>
    <row r="30">
      <c r="A30" t="inlineStr">
        <is>
          <t xml:space="preserve">  of which: decode advantage</t>
        </is>
      </c>
      <c r="B30" s="37">
        <f>(1/$B$22)/(1/$B$12)</f>
        <v/>
      </c>
    </row>
    <row r="32">
      <c r="A32" s="8" t="inlineStr">
        <is>
          <t>Measured prefill throughput, tokens/s/GPU (bf16 saturated lane, d2048)</t>
        </is>
      </c>
      <c r="D32" s="38" t="inlineStr">
        <is>
          <t>Context</t>
        </is>
      </c>
      <c r="E32" s="38" t="inlineStr">
        <is>
          <t>Transformer</t>
        </is>
      </c>
      <c r="F32" s="38" t="inlineStr">
        <is>
          <t>Owned</t>
        </is>
      </c>
    </row>
    <row r="33">
      <c r="A33" s="39" t="n">
        <v>2048</v>
      </c>
      <c r="B33" s="17" t="n">
        <v>4682606.88285999</v>
      </c>
      <c r="C33" s="17" t="n">
        <v>1185825</v>
      </c>
    </row>
    <row r="34">
      <c r="A34" s="39" t="n">
        <v>8192</v>
      </c>
      <c r="B34" s="17" t="n">
        <v>3450080</v>
      </c>
      <c r="C34" s="17" t="n">
        <v>1183690</v>
      </c>
    </row>
    <row r="35">
      <c r="A35" s="39" t="n">
        <v>32768</v>
      </c>
      <c r="B35" s="17" t="n">
        <v>1711802</v>
      </c>
      <c r="C35" s="17" t="n">
        <v>1186661</v>
      </c>
    </row>
    <row r="36">
      <c r="A36" s="39" t="n">
        <v>65536</v>
      </c>
      <c r="B36" s="17" t="n">
        <v>1007187</v>
      </c>
      <c r="C36" s="17" t="n">
        <v>1181622</v>
      </c>
    </row>
    <row r="37">
      <c r="A37" s="39" t="n">
        <v>131072</v>
      </c>
      <c r="B37" s="17" t="n">
        <v>541094</v>
      </c>
      <c r="C37" s="17" t="n">
        <v>978107</v>
      </c>
    </row>
    <row r="38">
      <c r="A38" s="39" t="n">
        <v>262144</v>
      </c>
      <c r="B38" s="17" t="n">
        <v>277474</v>
      </c>
      <c r="C38" s="17" t="n">
        <v>726142</v>
      </c>
    </row>
    <row r="39">
      <c r="A39" s="39" t="n">
        <v>524288</v>
      </c>
      <c r="B39" s="17" t="n">
        <v>140820</v>
      </c>
      <c r="C39" s="17"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8" t="inlineStr">
        <is>
          <t>Context (tokens)</t>
        </is>
      </c>
      <c r="B44" s="38" t="inlineStr">
        <is>
          <t>bAttention $/1M tok</t>
        </is>
      </c>
      <c r="C44" s="38" t="inlineStr">
        <is>
          <t>Transformer $/1M tok (mature stack)</t>
        </is>
      </c>
      <c r="D44" s="38" t="inlineStr">
        <is>
          <t>TF streams/GPU</t>
        </is>
      </c>
      <c r="E44" s="38" t="inlineStr">
        <is>
          <t>Cost ratio</t>
        </is>
      </c>
      <c r="F44" s="38" t="inlineStr">
        <is>
          <t>Note</t>
        </is>
      </c>
    </row>
    <row r="45">
      <c r="A45" s="39" t="n">
        <v>4096</v>
      </c>
      <c r="B45" s="40" t="n">
        <v>1.235482541359387</v>
      </c>
      <c r="C45" s="41" t="n">
        <v>0.1695945640120853</v>
      </c>
      <c r="D45" s="35" t="n">
        <v>118</v>
      </c>
      <c r="E45" s="42" t="n">
        <v>0.1372698992779634</v>
      </c>
      <c r="F45" s="43" t="inlineStr"/>
    </row>
    <row r="46">
      <c r="A46" s="39" t="n">
        <v>16384</v>
      </c>
      <c r="B46" s="40" t="n">
        <v>1.235482541359387</v>
      </c>
      <c r="C46" s="41" t="n">
        <v>0.678378256048341</v>
      </c>
      <c r="D46" s="35" t="n">
        <v>29</v>
      </c>
      <c r="E46" s="42" t="n">
        <v>0.5490795971118535</v>
      </c>
      <c r="F46" s="43" t="inlineStr"/>
    </row>
    <row r="47">
      <c r="A47" s="39" t="n">
        <v>32768</v>
      </c>
      <c r="B47" s="40" t="n">
        <v>1.235482541359387</v>
      </c>
      <c r="C47" s="41" t="n">
        <v>1.356756512096682</v>
      </c>
      <c r="D47" s="35" t="n">
        <v>14</v>
      </c>
      <c r="E47" s="42" t="n">
        <v>1.098159194223707</v>
      </c>
      <c r="F47" s="43" t="inlineStr"/>
    </row>
    <row r="48">
      <c r="A48" s="39" t="n">
        <v>65536</v>
      </c>
      <c r="B48" s="40" t="n">
        <v>1.235482541359387</v>
      </c>
      <c r="C48" s="41" t="n">
        <v>2.713513024193364</v>
      </c>
      <c r="D48" s="35" t="n">
        <v>7</v>
      </c>
      <c r="E48" s="42" t="n">
        <v>2.196318388447414</v>
      </c>
      <c r="F48" s="43" t="inlineStr"/>
    </row>
    <row r="49">
      <c r="A49" s="39" t="n">
        <v>131072</v>
      </c>
      <c r="B49" s="40" t="n">
        <v>1.235482541359387</v>
      </c>
      <c r="C49" s="41" t="n">
        <v>5.427026048386728</v>
      </c>
      <c r="D49" s="35" t="n">
        <v>3</v>
      </c>
      <c r="E49" s="42" t="n">
        <v>4.392636776894828</v>
      </c>
      <c r="F49" s="43" t="inlineStr"/>
    </row>
    <row r="50">
      <c r="A50" s="39" t="n">
        <v>262144</v>
      </c>
      <c r="B50" s="40" t="n">
        <v>1.235482541359387</v>
      </c>
      <c r="C50" s="41" t="n">
        <v>10.85405209677346</v>
      </c>
      <c r="D50" s="35" t="n">
        <v>1</v>
      </c>
      <c r="E50" s="42" t="n">
        <v>8.785273553789656</v>
      </c>
      <c r="F50" s="43" t="inlineStr">
        <is>
          <t>a measured decode cell (64 streams/GPU against the transformer 1)</t>
        </is>
      </c>
    </row>
    <row r="51">
      <c r="A51" s="39" t="n">
        <v>1048576</v>
      </c>
      <c r="B51" s="44" t="n">
        <v>1.235482541359387</v>
      </c>
      <c r="C51" s="41" t="n">
        <v/>
      </c>
      <c r="D51" s="35" t="n">
        <v>0</v>
      </c>
      <c r="E51" s="42" t="n">
        <v/>
      </c>
      <c r="F51" s="43"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8" t="inlineStr">
        <is>
          <t>Metric</t>
        </is>
      </c>
      <c r="B55" s="38" t="inlineStr">
        <is>
          <t>Value</t>
        </is>
      </c>
      <c r="C55" s="38" t="inlineStr">
        <is>
          <t>Ratio / consequence</t>
        </is>
      </c>
      <c r="D55" s="38" t="inlineStr"/>
      <c r="E55" s="38" t="inlineStr"/>
      <c r="F55" s="38" t="inlineStr">
        <is>
          <t>Status — derived.json key</t>
        </is>
      </c>
    </row>
    <row r="56">
      <c r="A56" s="45" t="inlineStr">
        <is>
          <t>8-GPU speedup, matched load (16 in flight)</t>
        </is>
      </c>
      <c r="B56" s="46" t="inlineStr">
        <is>
          <t>x5.15 fwd+bwd vs x3.70 fwd-only Ulysses best</t>
        </is>
      </c>
      <c r="C56" s="47" t="inlineStr">
        <is>
          <t>x1.39 cluster throughput</t>
        </is>
      </c>
      <c r="F56" s="43" t="inlineStr">
        <is>
          <t>MEASURED — matched_load_curve</t>
        </is>
      </c>
    </row>
    <row r="57">
      <c r="A57" s="45" t="inlineStr">
        <is>
          <t>8-GPU speedup, deep load (256 in flight)</t>
        </is>
      </c>
      <c r="B57" s="46" t="inlineStr">
        <is>
          <t>x6.27 (pipeline keeps filling; TF saturated by 16)</t>
        </is>
      </c>
      <c r="C57" s="47" t="inlineStr">
        <is>
          <t>x1.70</t>
        </is>
      </c>
      <c r="F57" s="43" t="inlineStr">
        <is>
          <t>MEASURED — scaling_1to8_best</t>
        </is>
      </c>
    </row>
    <row r="58">
      <c r="A58" s="45" t="inlineStr">
        <is>
          <t>GPU-hours for the same training work</t>
        </is>
      </c>
      <c r="B58" s="48" t="inlineStr">
        <is>
          <t>-28% (matched) … -41% (deep)</t>
        </is>
      </c>
      <c r="C58" s="45" t="inlineStr"/>
      <c r="F58" s="43" t="inlineStr">
        <is>
          <t>derived</t>
        </is>
      </c>
    </row>
    <row r="59">
      <c r="A59" s="45" t="inlineStr">
        <is>
          <t>64k-token sequence on one 80 GB GPU</t>
        </is>
      </c>
      <c r="B59" s="46" t="inlineStr">
        <is>
          <t>30.9 GB fits vs OOM (78.4 GB attempted)</t>
        </is>
      </c>
      <c r="C59" s="45" t="inlineStr"/>
      <c r="F59" s="43" t="inlineStr">
        <is>
          <t>MEASURED — pipeline_feasibility</t>
        </is>
      </c>
    </row>
    <row r="60">
      <c r="A60" s="45" t="inlineStr">
        <is>
          <t>Pipeline per-GPU peak (flat in load)</t>
        </is>
      </c>
      <c r="B60" s="46" t="inlineStr">
        <is>
          <t>9.05 GB vs 43.3 GB GPipe stage</t>
        </is>
      </c>
      <c r="C60" s="47" t="inlineStr">
        <is>
          <t>x4.8 (component-scope, width-unmatched)</t>
        </is>
      </c>
      <c r="F60" s="43" t="inlineStr">
        <is>
          <t>MEASURED — pipeline_memory_asymmetry</t>
        </is>
      </c>
    </row>
    <row r="61">
      <c r="A61" s="45" t="inlineStr">
        <is>
          <t>Params for equal quality at 70B</t>
        </is>
      </c>
      <c r="B61" s="49" t="inlineStr">
        <is>
          <t>x4.1 [2.2-7.7] transformer</t>
        </is>
      </c>
      <c r="C61" s="45" t="inlineStr"/>
      <c r="F61" s="43" t="inlineStr">
        <is>
          <t>PROJECTION — quality_fit.ref_70B</t>
        </is>
      </c>
    </row>
    <row r="62">
      <c r="A62" s="45" t="inlineStr">
        <is>
          <t>Tokens for equal quality at 70B</t>
        </is>
      </c>
      <c r="B62" s="49" t="inlineStr">
        <is>
          <t>x1.68 [1.33-2.10] (beta=0.28 assumption)</t>
        </is>
      </c>
      <c r="C62" s="45" t="inlineStr"/>
      <c r="F62" s="43" t="inlineStr">
        <is>
          <t>PROJECTION — quality_fit.ref_70B</t>
        </is>
      </c>
    </row>
    <row r="63">
      <c r="A63" s="45" t="inlineStr">
        <is>
          <t>Stepped vs scanned training</t>
        </is>
      </c>
      <c r="B63" s="46" t="inlineStr">
        <is>
          <t>x24 cost to step the recurrence token-by-token</t>
        </is>
      </c>
      <c r="C63" s="45" t="inlineStr"/>
      <c r="F63" s="43" t="inlineStr">
        <is>
          <t>MEASURED — stepped_vs_scanned</t>
        </is>
      </c>
    </row>
    <row r="65">
      <c r="A65" s="1" t="inlineStr">
        <is>
          <t>The compute lever — blended over the workload (sets flop_factor)</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1.93x faster at T=2,048 and 1.79x at T=8,192, crossover near T~32,000;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(1.93x, 2026-08-25) and T=8,192 (1.79x, 2026-08-24), MODELED beyond. Above 1.00 we are cheaper to train to the same quality. The 256k column is MODELED from the per-token cost form -- the transformer pays base + attn*T per token (FlashAttention is linear per token), our O(1) recurrent state pays ~flat -- with base and attn fitted to the 2k and 8k cells ONLY. The fit is flat -- the +5.8%-per-4x residual and the B4/T32,768 ~parity cell that shared it are RETIRED 2026-08-25 as a B4 occupancy artifact -- and puts the crossover at a PROJECTED T~16,943. The old constant-decay extrapolation (0.758 per 4x) is kept as the CONSERVATIVE bound and reads 0.73 at 256k against this form's 0.11. The fits cross at 392M, so below that we need MORE parameters, and every row past ~1B extrapolates beyond the measured 47M-663M rungs. Peak training memory (1.58x measured, 0.88x targeted) is NOT in this model: it caps per-GPU batch density, not FLOPs. Chart: paper/figures/vc_memo_training_cost_scaling.png</t>
        </is>
      </c>
    </row>
    <row r="71">
      <c r="A71" s="38" t="inlineStr">
        <is>
          <t>Transformer params</t>
        </is>
      </c>
      <c r="B71" s="38" t="inlineStr">
        <is>
          <t>s(N) fit</t>
        </is>
      </c>
      <c r="C71" s="38" t="inlineStr">
        <is>
          <t>Chinchilla 2k</t>
        </is>
      </c>
      <c r="D71" s="38" t="inlineStr">
        <is>
          <t>Chinchilla 8k</t>
        </is>
      </c>
      <c r="E71" s="38" t="inlineStr">
        <is>
          <t>Chinchilla 32k</t>
        </is>
      </c>
      <c r="F71" s="38" t="inlineStr">
        <is>
          <t>Chinchilla 256k*</t>
        </is>
      </c>
      <c r="G71" s="38" t="inlineStr">
        <is>
          <t>Fixed-D 2k / 8k / 32k / 256k*</t>
        </is>
      </c>
    </row>
    <row r="72">
      <c r="A72" s="45" t="inlineStr">
        <is>
          <t>1B</t>
        </is>
      </c>
      <c r="B72" s="28" t="n">
        <v>1.187536580013817</v>
      </c>
      <c r="C72" s="19" t="n">
        <v>0.7290793205151539</v>
      </c>
      <c r="D72" s="19" t="n">
        <v>1.01005559202076</v>
      </c>
      <c r="E72" s="19" t="n">
        <v>2.133960678043187</v>
      </c>
      <c r="F72" s="19" t="n">
        <v>12.62374148091916</v>
      </c>
      <c r="G72" s="47" t="inlineStr">
        <is>
          <t>0.61 / 0.85 / 1.80 / 10.63</t>
        </is>
      </c>
    </row>
    <row r="73">
      <c r="A73" s="45" t="inlineStr">
        <is>
          <t>10B</t>
        </is>
      </c>
      <c r="B73" s="28" t="n">
        <v>1.811968550196262</v>
      </c>
      <c r="C73" s="19" t="n">
        <v>1.697391795855765</v>
      </c>
      <c r="D73" s="19" t="n">
        <v>2.35154122056688</v>
      </c>
      <c r="E73" s="19" t="n">
        <v>4.968138919411341</v>
      </c>
      <c r="F73" s="19" t="n">
        <v>29.38971744195963</v>
      </c>
      <c r="G73" s="47" t="inlineStr">
        <is>
          <t>0.94 / 1.30 / 2.74 / 16.22</t>
        </is>
      </c>
    </row>
    <row r="74">
      <c r="A74" s="45" t="inlineStr">
        <is>
          <t>100B</t>
        </is>
      </c>
      <c r="B74" s="28" t="n">
        <v>2.764740120141925</v>
      </c>
      <c r="C74" s="19" t="n">
        <v>3.951749593724151</v>
      </c>
      <c r="D74" s="19" t="n">
        <v>5.474694814532027</v>
      </c>
      <c r="E74" s="19" t="n">
        <v>11.56647569776353</v>
      </c>
      <c r="F74" s="19" t="n">
        <v>68.42309727459089</v>
      </c>
      <c r="G74" s="47" t="inlineStr">
        <is>
          <t>1.43 / 1.98 / 4.18 / 24.75</t>
        </is>
      </c>
    </row>
    <row r="75">
      <c r="A75" s="45" t="inlineStr">
        <is>
          <t>1T</t>
        </is>
      </c>
      <c r="B75" s="28" t="n">
        <v>4.21849922897088</v>
      </c>
      <c r="C75" s="19" t="n">
        <v>9.200188718731198</v>
      </c>
      <c r="D75" s="19" t="n">
        <v>12.74580392217778</v>
      </c>
      <c r="E75" s="19" t="n">
        <v>26.92826473596412</v>
      </c>
      <c r="F75" s="19" t="n">
        <v>159.29789899797</v>
      </c>
      <c r="G75" s="47" t="inlineStr">
        <is>
          <t>2.18 / 3.02 / 6.38 / 37.76</t>
        </is>
      </c>
    </row>
    <row r="76">
      <c r="A76" s="45" t="inlineStr">
        <is>
          <t>10T</t>
        </is>
      </c>
      <c r="B76" s="28" t="n">
        <v>6.436675771144228</v>
      </c>
      <c r="C76" s="19" t="n">
        <v>21.41923987154772</v>
      </c>
      <c r="D76" s="19" t="n">
        <v>29.67389473316043</v>
      </c>
      <c r="E76" s="19" t="n">
        <v>62.69251417961127</v>
      </c>
      <c r="F76" s="19" t="n">
        <v>370.866295679819</v>
      </c>
      <c r="G76" s="47" t="inlineStr">
        <is>
          <t>3.33 / 4.61 / 9.74 / 57.62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8" t="inlineStr">
        <is>
          <t>Training curriculum</t>
        </is>
      </c>
      <c r="B80" s="38" t="inlineStr">
        <is>
          <t>Advantage (TF / ours)</t>
        </is>
      </c>
      <c r="C80" s="38" t="inlineStr">
        <is>
          <t>Effective r</t>
        </is>
      </c>
      <c r="D80" s="38" t="inlineStr">
        <is>
          <t>Mix: token share -&gt; transformer cost share</t>
        </is>
      </c>
      <c r="E80" s="38" t="inlineStr">
        <is>
          <t>FY25 cut @ 20% training</t>
        </is>
      </c>
      <c r="F80" s="38" t="inlineStr">
        <is>
          <t>vs serving-only</t>
        </is>
      </c>
      <c r="G80" s="38" t="inlineStr">
        <is>
          <t>Status</t>
        </is>
      </c>
    </row>
    <row r="81">
      <c r="A81" s="45" t="inlineStr">
        <is>
          <t>Legacy short (all training at 2k)</t>
        </is>
      </c>
      <c r="B81" s="50" t="n">
        <v>0.5169883870300283</v>
      </c>
      <c r="C81" s="51" t="n">
        <v>1.934279425007504</v>
      </c>
      <c r="D81" s="43" t="inlineStr">
        <is>
          <t>2k: 100% tok -&gt; 100% cost</t>
        </is>
      </c>
      <c r="E81" s="52" t="n">
        <v>154.1531879040444</v>
      </c>
      <c r="F81" s="53" t="n">
        <v>-4.678891120329979</v>
      </c>
      <c r="G81" s="54" t="inlineStr">
        <is>
          <t>MEASURED (degenerate one-context case)</t>
        </is>
      </c>
    </row>
    <row r="82">
      <c r="A82" s="45" t="inlineStr">
        <is>
          <t>Modern standard (8k bulk + 64k/256k extension)</t>
        </is>
      </c>
      <c r="B82" s="50" t="n">
        <v>1.911665560258985</v>
      </c>
      <c r="C82" s="51" t="n">
        <v>0.5231040516650433</v>
      </c>
      <c r="D82" s="43" t="inlineStr">
        <is>
          <t>8k: 70% tok -&gt; 26% cost  64k: 20% tok -&gt; 27% cost  256k: 10% tok -&gt; 47% cost</t>
        </is>
      </c>
      <c r="E82" s="52" t="n">
        <v>158.6241725679516</v>
      </c>
      <c r="F82" s="53" t="n">
        <v>-0.2079064564227622</v>
      </c>
      <c r="G82" s="55" t="inlineStr">
        <is>
          <t>ILLUSTRATIVE ASSUMPTION</t>
        </is>
      </c>
    </row>
    <row r="83">
      <c r="A83" s="45" t="inlineStr">
        <is>
          <t>Long-context heavy (frontier extension phases)</t>
        </is>
      </c>
      <c r="B83" s="50" t="n">
        <v>6.613720030002326</v>
      </c>
      <c r="C83" s="51" t="n">
        <v>0.1512008363619299</v>
      </c>
      <c r="D83" s="43" t="inlineStr">
        <is>
          <t>8k: 40% tok -&gt; 4% cost  64k: 25% tok -&gt; 10% cost  256k: 25% tok -&gt; 34% cost  1024k: 10% tok -&gt; 52% cost</t>
        </is>
      </c>
      <c r="E83" s="52" t="n">
        <v>159.8024623847159</v>
      </c>
      <c r="F83" s="53" t="n">
        <v>0.9703833603415433</v>
      </c>
      <c r="G83" s="55" t="inlineStr">
        <is>
          <t>ILLUSTRATIVE ASSUMPTION</t>
        </is>
      </c>
    </row>
    <row r="84">
      <c r="A84" s="45" t="inlineStr">
        <is>
          <t>Frontier + long-rollout RL</t>
        </is>
      </c>
      <c r="B84" s="50" t="n">
        <v>10.3062938791228</v>
      </c>
      <c r="C84" s="51" t="n">
        <v>0.09702808902292945</v>
      </c>
      <c r="D84" s="43" t="inlineStr">
        <is>
          <t>8k: 30% tok -&gt; 2% cost  64k: 20% tok -&gt; 5% cost  256k: 30% tok -&gt; 26% cost  1024k: 20% tok -&gt; 67% cost</t>
        </is>
      </c>
      <c r="E84" s="52" t="n">
        <v>159.9740962773771</v>
      </c>
      <c r="F84" s="53" t="n">
        <v>1.142017253002734</v>
      </c>
      <c r="G84" s="55" t="inlineStr">
        <is>
          <t>ILLUSTRATIVE ASSUMPTION</t>
        </is>
      </c>
    </row>
    <row r="86">
      <c r="A86" s="3" t="inlineStr">
        <is>
          <t>EXCLUDED, AND IT RUNS OUR WAY. At 262k+ the transformer additionally pays sequence-parallelism and activation-memory costs an O(1) recurrent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experiments/paper_figures/output/matched_d{512,1024,2048}_h100.json</t>
        </is>
      </c>
    </row>
    <row r="90">
      <c r="A90" s="38" t="inlineStr">
        <is>
          <t>Context (tokens)</t>
        </is>
      </c>
      <c r="B90" s="38" t="inlineStr">
        <is>
          <t>Transformer ms</t>
        </is>
      </c>
      <c r="C90" s="38" t="inlineStr">
        <is>
          <t>bAttention ms</t>
        </is>
      </c>
      <c r="D90" s="38" t="inlineStr">
        <is>
          <t>TF / bAttention</t>
        </is>
      </c>
      <c r="E90" s="38" t="inlineStr"/>
      <c r="F90" s="38" t="inlineStr">
        <is>
          <t>Note</t>
        </is>
      </c>
    </row>
    <row r="91">
      <c r="A91" s="39" t="n">
        <v>2048</v>
      </c>
      <c r="B91" s="5" t="n">
        <v>111.229</v>
      </c>
      <c r="C91" s="14" t="n">
        <v>663.1130000000001</v>
      </c>
      <c r="D91" s="50" t="n">
        <v>0.16773762541226</v>
      </c>
      <c r="F91" s="43" t="inlineStr">
        <is>
          <t>transformer ahead</t>
        </is>
      </c>
    </row>
    <row r="92">
      <c r="A92" s="39" t="n">
        <v>4096</v>
      </c>
      <c r="B92" s="5" t="n">
        <v>125.091</v>
      </c>
      <c r="C92" s="14" t="n">
        <v>662.751</v>
      </c>
      <c r="D92" s="50" t="n">
        <v>0.1887450943114382</v>
      </c>
      <c r="F92" s="43" t="inlineStr">
        <is>
          <t>transformer ahead</t>
        </is>
      </c>
    </row>
    <row r="93">
      <c r="A93" s="39" t="n">
        <v>8192</v>
      </c>
      <c r="B93" s="5" t="n">
        <v>153.085</v>
      </c>
      <c r="C93" s="14" t="n">
        <v>663.327</v>
      </c>
      <c r="D93" s="50" t="n">
        <v>0.2307836104967836</v>
      </c>
      <c r="F93" s="43" t="inlineStr">
        <is>
          <t>transformer ahead</t>
        </is>
      </c>
    </row>
    <row r="94">
      <c r="A94" s="39" t="n">
        <v>16384</v>
      </c>
      <c r="B94" s="5" t="n">
        <v>204.919</v>
      </c>
      <c r="C94" s="14" t="n">
        <v>663.202</v>
      </c>
      <c r="D94" s="50" t="n">
        <v>0.3089842913622094</v>
      </c>
      <c r="F94" s="43" t="inlineStr">
        <is>
          <t>transformer ahead</t>
        </is>
      </c>
    </row>
    <row r="95">
      <c r="A95" s="39" t="n">
        <v>32768</v>
      </c>
      <c r="B95" s="5" t="n">
        <v>309.886</v>
      </c>
      <c r="C95" s="14" t="n">
        <v>662.6180000000001</v>
      </c>
      <c r="D95" s="50" t="n">
        <v>0.4676691547769605</v>
      </c>
      <c r="F95" s="43" t="inlineStr">
        <is>
          <t>transformer ahead</t>
        </is>
      </c>
    </row>
    <row r="96">
      <c r="A96" s="39" t="n">
        <v>65536</v>
      </c>
      <c r="B96" s="5" t="n">
        <v>520.986</v>
      </c>
      <c r="C96" s="14" t="n">
        <v>663.199</v>
      </c>
      <c r="D96" s="50" t="n">
        <v>0.7855651169558459</v>
      </c>
      <c r="F96" s="43" t="inlineStr">
        <is>
          <t>transformer ahead</t>
        </is>
      </c>
    </row>
    <row r="97">
      <c r="A97" s="39" t="n">
        <v>131072</v>
      </c>
      <c r="B97" s="5" t="n">
        <v>969.79</v>
      </c>
      <c r="C97" s="14" t="n">
        <v>753.457</v>
      </c>
      <c r="D97" s="50" t="n">
        <v>1.287120565606265</v>
      </c>
      <c r="F97" s="43" t="inlineStr"/>
    </row>
    <row r="98">
      <c r="A98" s="39" t="n">
        <v>262144</v>
      </c>
      <c r="B98" s="5" t="n">
        <v>1889.616</v>
      </c>
      <c r="C98" s="14" t="n">
        <v>938.175</v>
      </c>
      <c r="D98" s="50" t="n">
        <v>2.014140219042289</v>
      </c>
      <c r="F98" s="43" t="inlineStr"/>
    </row>
    <row r="99">
      <c r="A99" s="39" t="n">
        <v>524288</v>
      </c>
      <c r="B99" s="5" t="n">
        <v>3718.717</v>
      </c>
      <c r="C99" s="14" t="n">
        <v>1308.837</v>
      </c>
      <c r="D99" s="50" t="n">
        <v>2.841237678947035</v>
      </c>
      <c r="F99" s="43" t="inlineStr"/>
    </row>
    <row r="101">
      <c r="A101" s="1" t="inlineStr">
        <is>
          <t>Assumptions — one row each (MEASURED / PROJECTION / ASSUMPTION)</t>
        </is>
      </c>
      <c r="B101" s="2" t="n"/>
      <c r="C101" s="2" t="n"/>
      <c r="D101" s="2" t="n"/>
      <c r="E101" s="2" t="n"/>
      <c r="F101" s="2" t="n"/>
    </row>
    <row r="102">
      <c r="A102" s="38" t="inlineStr">
        <is>
          <t>Assumption</t>
        </is>
      </c>
      <c r="B102" s="38" t="inlineStr">
        <is>
          <t>Value</t>
        </is>
      </c>
      <c r="C102" s="38" t="inlineStr"/>
      <c r="D102" s="38" t="inlineStr"/>
      <c r="E102" s="38" t="inlineStr">
        <is>
          <t>Status</t>
        </is>
      </c>
      <c r="F102" s="38" t="inlineStr">
        <is>
          <t>Source</t>
        </is>
      </c>
    </row>
    <row r="103">
      <c r="A103" s="45" t="inlineStr">
        <is>
          <t>Compute lever (economics slide)</t>
        </is>
      </c>
      <c r="B103" s="43" t="inlineStr">
        <is>
          <t>x9.24 = the x2.19 MEASURED serving blend x the x4.22 FIT-DERIVED equal-quality parameter ratio at trillion scale</t>
        </is>
      </c>
      <c r="E103" s="55" t="inlineStr">
        <is>
          <t>MEASURED x PROJECTION</t>
        </is>
      </c>
      <c r="F103" s="43" t="inlineStr">
        <is>
          <t>workload_compute_advantage() x quality_matched_compute_lever(); receipts derived.json + quality_fit_v4.json</t>
        </is>
      </c>
    </row>
    <row r="104">
      <c r="A104" s="45" t="inlineStr">
        <is>
          <t>Equal-quality parameter matching</t>
        </is>
      </c>
      <c r="B104" s="43"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5" t="inlineStr">
        <is>
          <t>PROJECTION</t>
        </is>
      </c>
      <c r="F104" s="43" t="inlineStr">
        <is>
          <t>quality_fit_v4.json param_matching; fits over the sealed rope-convention ladder</t>
        </is>
      </c>
    </row>
    <row r="105">
      <c r="A105" s="45" t="inlineStr">
        <is>
          <t>Single-GPU training step (AGAINST us)</t>
        </is>
      </c>
      <c r="B105" s="43" t="inlineStr">
        <is>
          <t>RE-BASED 2026-08-24: on one GH200, single layer, fwd+bwd, bf16, checkpointing off both arms, against a MODERN transformer block (24Q/4KV, head_dim 256, RoPE 64, gated attention), a bAttention step costs x1.93 MORE at T=2,048 (116.0 vs 60.0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4" t="inlineStr">
        <is>
          <t>MEASURED</t>
        </is>
      </c>
      <c r="F105" s="43" t="inlineStr">
        <is>
          <t>2026-08-24 GH200 megakernel measurement; prior: dtype_trio_v4.json rows[fp16]</t>
        </is>
      </c>
    </row>
    <row r="106">
      <c r="A106" s="45" t="inlineStr">
        <is>
          <t>Training PEAK MEMORY (AGAINST us)</t>
        </is>
      </c>
      <c r="B106" s="43" t="inlineStr">
        <is>
          <t>x1.579 at T=2,048 (17,087.5 vs 10,823.6 MiB) and x1.567 at T=8,192, down from x2.829 the same morning. This is TRAINING peak memory and is NOT the mem_factor lever, which is SERVING state (O(1) recurrent state vs O(T) KV cache) and is unaffected. It is not an input to the cost model; it caps per-GPU batch density</t>
        </is>
      </c>
      <c r="E106" s="54" t="inlineStr">
        <is>
          <t>MEASURED</t>
        </is>
      </c>
      <c r="F106" s="43" t="inlineStr">
        <is>
          <t>2026-08-24 GH200 megakernel measurement</t>
        </is>
      </c>
    </row>
    <row r="107">
      <c r="A107" s="45" t="inlineStr">
        <is>
          <t>Kernel program (TARGET, not a result)</t>
        </is>
      </c>
      <c r="B107" s="43"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CEILING_PREFILL_SPEEDUP = the MEASURED x3.452 already banked x this x1.786 target</t>
        </is>
      </c>
      <c r="E107" s="55" t="inlineStr">
        <is>
          <t>TARGET</t>
        </is>
      </c>
      <c r="F107" s="43" t="inlineStr">
        <is>
          <t>kernel-campaign program plan, 2026-08-24 — no receipt behind the target half</t>
        </is>
      </c>
    </row>
    <row r="108">
      <c r="A108" s="45" t="inlineStr">
        <is>
          <t>Context scaling of the training gap</t>
        </is>
      </c>
      <c r="B108" s="43"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T~16,900. Holding the old x0.802 decay constant instead would say x1.43 at 32k and a crossover near T~310,000 - that is the CONSERVATIVE extrapolation, because the transformer's quadratic attention term makes its per-4x growth rise with context while ours stays flat</t>
        </is>
      </c>
      <c r="E108" s="55" t="inlineStr">
        <is>
          <t>MEASURED (2 ratio points) + PROJECTION</t>
        </is>
      </c>
      <c r="F108" s="43" t="inlineStr">
        <is>
          <t>2026-08-24 GH200 megakernel measurement; 2k cell re-based 2026-08-25</t>
        </is>
      </c>
    </row>
    <row r="109">
      <c r="A109" s="45" t="inlineStr">
        <is>
          <t>Training CONTEXT MIX (reads the other way)</t>
        </is>
      </c>
      <c r="B109" s="43" t="inlineStr">
        <is>
          <t>quoting one context for all of training is the pessimistic corner, and it was this model's old implicit assumption. Cost-weighted over a curriculum the training term flips from a DRAG to a CONTRIBUTOR: x0.517 at 100% 2k, x1.91 at a modern 8k/64k/256k mix, x6.61 long-context-heavy, x10.31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5" t="inlineStr">
        <is>
          <t>MEASURED r(T) + ILLUSTRATIVE mix</t>
        </is>
      </c>
      <c r="F109" s="43" t="inlineStr">
        <is>
          <t>TRAIN_COST_FIT_20260824, TRAINING_CURRICULA, training_advantage_mix()</t>
        </is>
      </c>
    </row>
    <row r="110">
      <c r="A110" s="45" t="inlineStr">
        <is>
          <t>Long-context training memory (EXCLUDED, runs our way)</t>
        </is>
      </c>
      <c r="B110" s="43" t="inlineStr">
        <is>
          <t>at 262k+ the transformer additionally pays sequence-parallelism and activation-memory costs that an O(1) recurrent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5" t="inlineStr">
        <is>
          <t>DIRECTIONAL — measured components, not a costed lever</t>
        </is>
      </c>
      <c r="F110" s="43" t="inlineStr">
        <is>
          <t>KERNEL_CAMPAIGN_20260824 mem_ratio_2k/8k; KV_MB_PER_TOKEN_PER_STREAM</t>
        </is>
      </c>
    </row>
    <row r="111">
      <c r="A111" s="45" t="inlineStr">
        <is>
          <t>$/GPU-hour</t>
        </is>
      </c>
      <c r="B111" s="43" t="inlineStr">
        <is>
          <t>$2.50 (H100 rent, neocloud/committed mid; ladder 2.00-3.50)</t>
        </is>
      </c>
      <c r="E111" s="55" t="inlineStr">
        <is>
          <t>ASSUMPTION</t>
        </is>
      </c>
      <c r="F111" s="43" t="inlineStr">
        <is>
          <t>this file's CostLadder row — unchanged rate basis</t>
        </is>
      </c>
    </row>
    <row r="112">
      <c r="A112" s="45" t="inlineStr">
        <is>
          <t>Utilization</t>
        </is>
      </c>
      <c r="B112" s="43" t="inlineStr">
        <is>
          <t>85%</t>
        </is>
      </c>
      <c r="E112" s="55" t="inlineStr">
        <is>
          <t>ASSUMPTION</t>
        </is>
      </c>
      <c r="F112" s="43" t="inlineStr">
        <is>
          <t>same value as the ladder's owned-TCO cross-check</t>
        </is>
      </c>
    </row>
    <row r="113">
      <c r="A113" s="45" t="inlineStr">
        <is>
          <t>Context-length mix</t>
        </is>
      </c>
      <c r="B113" s="43" t="inlineStr">
        <is>
          <t>headline quoted at 262k (a measured decode cell); table sweeps 4k-1M. The decode lever crosses 1 at ~29,800 tokens and BELOW that the transformer serves more tokens per GPU-second than we do — stated on every surface</t>
        </is>
      </c>
      <c r="E113" s="55" t="inlineStr">
        <is>
          <t>ASSUMPTION</t>
        </is>
      </c>
      <c r="F113" s="43" t="inlineStr">
        <is>
          <t>serving_cost_curve, decode_throughput_ratio</t>
        </is>
      </c>
    </row>
    <row r="114">
      <c r="A114" s="45" t="inlineStr">
        <is>
          <t>Decode lever is MEMORY-CEILING, not latency (READ FIRST)</t>
        </is>
      </c>
      <c r="B114" s="43"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4" t="inlineStr">
        <is>
          <t>MEASURED</t>
        </is>
      </c>
      <c r="F114" s="43" t="inlineStr">
        <is>
          <t>deck_decode_d2048_bf16_gh200_20260814.json; DECODE_THROUGHPUT_20260814</t>
        </is>
      </c>
    </row>
    <row r="115">
      <c r="A115" s="45" t="inlineStr">
        <is>
          <t>Transformer-stack maturity</t>
        </is>
      </c>
      <c r="B115" s="43"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15" s="55" t="inlineStr">
        <is>
          <t>ASSUMPTION</t>
        </is>
      </c>
      <c r="F115" s="43" t="inlineStr">
        <is>
          <t>SERVING['tf_kv_compression']</t>
        </is>
      </c>
    </row>
    <row r="116">
      <c r="A116" s="45" t="inlineStr">
        <is>
          <t>bAttention serving throughput</t>
        </is>
      </c>
      <c r="B116" s="43"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4" t="inlineStr">
        <is>
          <t>MEASURED</t>
        </is>
      </c>
      <c r="F116" s="43" t="inlineStr">
        <is>
          <t>deck_decode_d2048_bf16_gh200_20260814.json rows[bdm, 64 streams]</t>
        </is>
      </c>
    </row>
    <row r="117">
      <c r="A117" s="45" t="inlineStr">
        <is>
          <t>bAttention per-stream state</t>
        </is>
      </c>
      <c r="B117" s="43" t="inlineStr">
        <is>
          <t>25.4 MB/stream, the FULL recurrent cell (h + M memory), 24.2 MiB measured, context-flat. The 0.15 MB figure previously quoted was an h-carry-only proxy with no M memory and is retired as a headline</t>
        </is>
      </c>
      <c r="E117" s="54" t="inlineStr">
        <is>
          <t>MEASURED</t>
        </is>
      </c>
      <c r="F117" s="43" t="inlineStr">
        <is>
          <t>deck_decode_d2048_bf16_gh200_20260814.json state_bytes_per_stream</t>
        </is>
      </c>
    </row>
    <row r="118">
      <c r="A118" s="45" t="inlineStr">
        <is>
          <t>Transformer KV wall</t>
        </is>
      </c>
      <c r="B118" s="43"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8" s="54" t="inlineStr">
        <is>
          <t>MEASURED</t>
        </is>
      </c>
      <c r="F118" s="43" t="inlineStr">
        <is>
          <t>deck_decode_d2048_bf16_gh200_20260814.json rows[transformer]</t>
        </is>
      </c>
    </row>
    <row r="119">
      <c r="A119" s="45" t="inlineStr">
        <is>
          <t>Training throughput at 8 GPUs</t>
        </is>
      </c>
      <c r="B119" s="43" t="inlineStr">
        <is>
          <t>x5.15 (bAttention, fwd+bwd) vs x3.70 (transformer Ulysses best, forward-only) at matched 16-in-flight load -&gt; x1.39; x6.27 at 256 in flight -&gt; x1.70</t>
        </is>
      </c>
      <c r="E119" s="54" t="inlineStr">
        <is>
          <t>MEASURED</t>
        </is>
      </c>
      <c r="F119" s="43" t="inlineStr">
        <is>
          <t>derived.json matched_load_curve, scaling_1to8_best</t>
        </is>
      </c>
    </row>
    <row r="120">
      <c r="A120" s="45" t="inlineStr">
        <is>
          <t>Memory walls (component scope)</t>
        </is>
      </c>
      <c r="B120" s="43" t="inlineStr">
        <is>
          <t>64k-token sequence: 30.9 GB (fits 1 GPU) vs OOM at 78.4 GB attempted; pipeline stage 9.05 GB flat vs GPipe 43.3 GB</t>
        </is>
      </c>
      <c r="E120" s="54" t="inlineStr">
        <is>
          <t>MEASURED</t>
        </is>
      </c>
      <c r="F120" s="43" t="inlineStr">
        <is>
          <t>derived.json pipeline_feasibility, pipeline_memory_asymmetry</t>
        </is>
      </c>
    </row>
    <row r="121">
      <c r="A121" s="45" t="inlineStr">
        <is>
          <t>Compute lever (flop_factor)</t>
        </is>
      </c>
      <c r="B121" s="43"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x3.452 sits in CEILING_PREFILL_SPEEDUP, not here</t>
        </is>
      </c>
      <c r="E121" s="54" t="inlineStr">
        <is>
          <t>MEASURED</t>
        </is>
      </c>
      <c r="F121" s="43" t="inlineStr">
        <is>
          <t>matched_d{512,1024,2048}_h100.json (2026-07-21)</t>
        </is>
      </c>
    </row>
    <row r="122">
      <c r="A122" s="45" t="inlineStr">
        <is>
          <t>Compute, fp32 lane (scope reference)</t>
        </is>
      </c>
      <c r="B122" s="43"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5" t="inlineStr">
        <is>
          <t>LABEL</t>
        </is>
      </c>
      <c r="F122" s="43" t="inlineStr">
        <is>
          <t>deck_speed_scaling_d2048_h100_20260803.json sdpa_fp32_backend_probe + last_route_attestation</t>
        </is>
      </c>
    </row>
    <row r="123">
      <c r="A123" s="45" t="inlineStr">
        <is>
          <t>16-bit IO (training)</t>
        </is>
      </c>
      <c r="B123" s="43" t="inlineStr">
        <is>
          <t>same-arch GH200 gate at d1536: fp16 x1.185 step time and -17.5% peak memory, bf16 x1.171 and -20.6%; quality deltas +0.001 to +0.004 from the gate's smaller vehicle. Reported on its own; not an input to the compute lever</t>
        </is>
      </c>
      <c r="E123" s="54" t="inlineStr">
        <is>
          <t>MEASURED</t>
        </is>
      </c>
      <c r="F123" s="43" t="inlineStr">
        <is>
          <t>receipts/io16_gate_20260809.md (2026-08-09)</t>
        </is>
      </c>
    </row>
    <row r="124">
      <c r="A124" s="45" t="inlineStr">
        <is>
          <t>Quality parity at 70B</t>
        </is>
      </c>
      <c r="B124" s="43" t="inlineStr">
        <is>
          <t>transformer needs x4.1 params [2.2-7.7] or x1.7 tokens [1.33-2.10, beta=0.28 assumption]; crossover N* ~321M = the top measured rung</t>
        </is>
      </c>
      <c r="E124" s="55" t="inlineStr">
        <is>
          <t>PROJECTION</t>
        </is>
      </c>
      <c r="F124" s="43" t="inlineStr">
        <is>
          <t>derived.json quality_fit.ref_70B, parity_cost</t>
        </is>
      </c>
    </row>
    <row r="125">
      <c r="A125" s="45" t="inlineStr">
        <is>
          <t>Scope</t>
        </is>
      </c>
      <c r="B125" s="43" t="inlineStr">
        <is>
          <t>systems numbers are component-scope (bAttention d1536 fwd+bwd h-recurrence sub-block vs transformer d2048 forward-only layer); every speedup is vs the family's OWN 1-GPU baseline</t>
        </is>
      </c>
      <c r="E125" s="55" t="inlineStr">
        <is>
          <t>LABEL</t>
        </is>
      </c>
      <c r="F125" s="43"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6" t="n">
        <v>0.45</v>
      </c>
      <c r="C27" s="37">
        <f>1/(B27/Inputs!$B$2+(1-B27)/Inputs!$B$3)</f>
        <v/>
      </c>
      <c r="D27" t="inlineStr">
        <is>
          <t>compute term dominates -&gt; stays far below 100x</t>
        </is>
      </c>
    </row>
    <row r="28">
      <c r="A28" t="inlineStr">
        <is>
          <t>memory share = 50%</t>
        </is>
      </c>
      <c r="B28" s="16" t="n">
        <v>0.5</v>
      </c>
      <c r="C28" s="37">
        <f>1/(B28/Inputs!$B$2+(1-B28)/Inputs!$B$3)</f>
        <v/>
      </c>
      <c r="D28" t="inlineStr">
        <is>
          <t>compute term dominates -&gt; stays far below 100x</t>
        </is>
      </c>
    </row>
    <row r="29">
      <c r="A29" t="inlineStr">
        <is>
          <t>memory share = 60%</t>
        </is>
      </c>
      <c r="B29" s="16" t="n">
        <v>0.6</v>
      </c>
      <c r="C29" s="37">
        <f>1/(B29/Inputs!$B$2+(1-B29)/Inputs!$B$3)</f>
        <v/>
      </c>
      <c r="D29" t="inlineStr">
        <is>
          <t>compute term dominates -&gt; stays far below 100x</t>
        </is>
      </c>
    </row>
    <row r="30">
      <c r="A30" t="inlineStr">
        <is>
          <t>memory share = 70%</t>
        </is>
      </c>
      <c r="B30" s="16" t="n">
        <v>0.7</v>
      </c>
      <c r="C30" s="37">
        <f>1/(B30/Inputs!$B$2+(1-B30)/Inputs!$B$3)</f>
        <v/>
      </c>
      <c r="D30" t="inlineStr">
        <is>
          <t>compute term dominates -&gt; stays far below 100x</t>
        </is>
      </c>
    </row>
    <row r="31">
      <c r="A31" t="inlineStr">
        <is>
          <t>memory share = 82%</t>
        </is>
      </c>
      <c r="B31" s="16" t="n">
        <v>0.82</v>
      </c>
      <c r="C31" s="37">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TODAY (default): memory x100 + FLOPs x9.24 (blend x2.19 x equal-quality parameter ratio x4.22 at 1T) -&gt; ~20x cost-weighted (Inputs B20). CEILING: FLOPs x24.8 -&gt; ~45x (re-based 2026-08-24/25: x3.452 measured x x1.786 target, was a flat x5.5 assumption).</t>
        </is>
      </c>
    </row>
    <row r="4">
      <c r="A4" s="3" t="inlineStr">
        <is>
          <t xml:space="preserve">  Floored by the least-reduced part (compute). Neither alone helps (mem-only ~2.5x, FLOP-only ~1.5x).</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~20x TODAY, ~45x at the CEILING (NOT 100x; ~16-36x over memory share 45-82% at the Today lever).</t>
        </is>
      </c>
    </row>
    <row r="18">
      <c r="A18" s="3" t="inlineStr">
        <is>
          <t>- Net AI FY25: 6 named firms spend ~$375B (capex+opex) vs ~$79B AI revenue = ~ -$295B/yr cash burn.</t>
        </is>
      </c>
    </row>
    <row r="19">
      <c r="A19" s="3" t="inlineStr">
        <is>
          <t>- With our architecture: spend cut ~$159B -&gt; burn shrinks to ~ -$136B/yr (~42% of AI spend cut).</t>
        </is>
      </c>
    </row>
    <row r="20">
      <c r="A20" s="3" t="inlineStr">
        <is>
          <t>- Spend-cut value (named floor, 6% discount rate): FY25 ~$159B/yr (~$2.6T capitalized); FY26 r/r ~$366B/yr (~$6.1T). Ceiling: ~$163B FY25.</t>
        </is>
      </c>
    </row>
    <row r="21">
      <c r="A21" s="3" t="inlineStr">
        <is>
          <t>- GLOBAL estimate (named ~80% of world AI capex): FY25 ~$3.3T, FY26 ~$7.6T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2026-08-31T19:41:48Z</dcterms:created>
  <dcterms:modified xmlns:dcterms="http://purl.org/dc/terms/" xmlns:xsi="http://www.w3.org/2001/XMLSchema-instance" xsi:type="dcterms:W3CDTF">2026-08-31T19:41:49Z</dcterms:modified>
</cp:coreProperties>
</file>