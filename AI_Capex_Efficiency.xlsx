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Microsoft" sheetId="4" state="visible" r:id="rId4"/>
    <sheet name="Alphabet" sheetId="5" state="visible" r:id="rId5"/>
    <sheet name="Amazon" sheetId="6" state="visible" r:id="rId6"/>
    <sheet name="Meta" sheetId="7" state="visible" r:id="rId7"/>
    <sheet name="Oracle" sheetId="8" state="visible" r:id="rId8"/>
    <sheet name="SpaceX" sheetId="9" state="visible" r:id="rId9"/>
    <sheet name="Totals" sheetId="10" state="visible" r:id="rId10"/>
    <sheet name="Inputs" sheetId="11" state="visible" r:id="rId11"/>
    <sheet name="Sensitivity" sheetId="12" state="visible" r:id="rId12"/>
    <sheet name="CostLadder" sheetId="13" state="visible" r:id="rId13"/>
    <sheet name="ServingTraining" sheetId="14" state="visible" r:id="rId14"/>
    <sheet name="Evidence" sheetId="15" state="visible" r:id="rId15"/>
    <sheet name="Methodology" sheetId="16" state="visible" r:id="rId16"/>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ServeGPULever">Levers!$C$17</definedName>
  </definedNames>
  <calcPr calcId="124519" fullCalcOnLoad="1"/>
</workbook>
</file>

<file path=xl/styles.xml><?xml version="1.0" encoding="utf-8"?>
<styleSheet xmlns="http://schemas.openxmlformats.org/spreadsheetml/2006/main">
  <numFmts count="18">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quot;B&quot;;-&quot;$&quot;#,##0&quot;B&quot;"/>
    <numFmt numFmtId="179" formatCode="&quot;$&quot;#,##0.0&quot;B&quot;"/>
    <numFmt numFmtId="180" formatCode="&quot;$&quot;#,##0.0&quot;T&quot;;-&quot;$&quot;#,##0.0&quot;T&quot;"/>
    <numFmt numFmtId="181" formatCode="+&quot;$&quot;#,##0&quot;B&quot;;-&quot;$&quot;#,##0&quot;B&quot;;&quot;—&quot;"/>
  </numFmts>
  <fonts count="6">
    <font>
      <name val="Calibri"/>
      <family val="2"/>
      <color theme="1"/>
      <sz val="11"/>
      <scheme val="minor"/>
    </font>
    <font>
      <b val="1"/>
      <color rgb="00FFFFFF"/>
    </font>
    <font>
      <b val="1"/>
    </font>
    <font>
      <color rgb="000563C1"/>
      <u val="single"/>
    </font>
    <font>
      <b val="1"/>
      <color rgb="00FFFFFF"/>
      <sz val="16"/>
    </font>
    <font>
      <b val="1"/>
      <sz val="13"/>
    </font>
  </fonts>
  <fills count="9">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
      <patternFill patternType="solid">
        <fgColor rgb="000B2545"/>
      </patternFill>
    </fill>
    <fill>
      <patternFill patternType="solid">
        <fgColor rgb="00FCE4D6"/>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82">
    <xf numFmtId="0" fontId="0" fillId="0" borderId="0" pivotButton="0" quotePrefix="0" xfId="0"/>
    <xf numFmtId="0" fontId="4" fillId="7" borderId="0" applyAlignment="1" pivotButton="0" quotePrefix="0" xfId="0">
      <alignment vertical="center"/>
    </xf>
    <xf numFmtId="0" fontId="0" fillId="7" borderId="0" pivotButton="0" quotePrefix="0" xfId="0"/>
    <xf numFmtId="0" fontId="0" fillId="0" borderId="0" applyAlignment="1" pivotButton="0" quotePrefix="0" xfId="0">
      <alignment vertical="top" wrapText="1"/>
    </xf>
    <xf numFmtId="0" fontId="2" fillId="6" borderId="0" pivotButton="0" quotePrefix="0" xfId="0"/>
    <xf numFmtId="0" fontId="0" fillId="6" borderId="0" pivotButton="0" quotePrefix="0" xfId="0"/>
    <xf numFmtId="178" fontId="0" fillId="5" borderId="1" pivotButton="0" quotePrefix="0" xfId="0"/>
    <xf numFmtId="0" fontId="2" fillId="0" borderId="0" pivotButton="0" quotePrefix="0" xfId="0"/>
    <xf numFmtId="178" fontId="5" fillId="8" borderId="1" pivotButton="0" quotePrefix="0" xfId="0"/>
    <xf numFmtId="9" fontId="5" fillId="8" borderId="1" pivotButton="0" quotePrefix="0" xfId="0"/>
    <xf numFmtId="180" fontId="0" fillId="5" borderId="1" pivotButton="0" quotePrefix="0" xfId="0"/>
    <xf numFmtId="0" fontId="2" fillId="0" borderId="1" pivotButton="0" quotePrefix="0" xfId="0"/>
    <xf numFmtId="0" fontId="0" fillId="0" borderId="4" pivotButton="0" quotePrefix="0" xfId="0"/>
    <xf numFmtId="0" fontId="0" fillId="0" borderId="5" pivotButton="0" quotePrefix="0" xfId="0"/>
    <xf numFmtId="9" fontId="0" fillId="5" borderId="1" pivotButton="0" quotePrefix="0" xfId="0"/>
    <xf numFmtId="178" fontId="2" fillId="8" borderId="1" pivotButton="0" quotePrefix="0" xfId="0"/>
    <xf numFmtId="0" fontId="2" fillId="6" borderId="1" applyAlignment="1" pivotButton="0" quotePrefix="0" xfId="0">
      <alignment vertical="top" wrapText="1"/>
    </xf>
    <xf numFmtId="0" fontId="0" fillId="0" borderId="1" pivotButton="0" quotePrefix="0" xfId="0"/>
    <xf numFmtId="178" fontId="2" fillId="5" borderId="1" pivotButton="0" quotePrefix="0" xfId="0"/>
    <xf numFmtId="9" fontId="2" fillId="5" borderId="1" pivotButton="0" quotePrefix="0" xfId="0"/>
    <xf numFmtId="0" fontId="2" fillId="0" borderId="0" applyAlignment="1" pivotButton="0" quotePrefix="0" xfId="0">
      <alignment vertical="top" wrapText="1"/>
    </xf>
    <xf numFmtId="176" fontId="0" fillId="5" borderId="1" pivotButton="0" quotePrefix="0" xfId="0"/>
    <xf numFmtId="176" fontId="2" fillId="5" borderId="1" pivotButton="0" quotePrefix="0" xfId="0"/>
    <xf numFmtId="177" fontId="0" fillId="5" borderId="1" pivotButton="0" quotePrefix="0" xfId="0"/>
    <xf numFmtId="0" fontId="0" fillId="0" borderId="1" applyAlignment="1" pivotButton="0" quotePrefix="0" xfId="0">
      <alignment vertical="top" wrapText="1"/>
    </xf>
    <xf numFmtId="165" fontId="0" fillId="5" borderId="1" pivotButton="0" quotePrefix="0" xfId="0"/>
    <xf numFmtId="181" fontId="0" fillId="5" borderId="1" pivotButton="0" quotePrefix="0" xfId="0"/>
    <xf numFmtId="0" fontId="2" fillId="0" borderId="1" applyAlignment="1" pivotButton="0" quotePrefix="0" xfId="0">
      <alignment vertical="top" wrapText="1"/>
    </xf>
    <xf numFmtId="179" fontId="0" fillId="5" borderId="1" pivotButton="0" quotePrefix="0" xfId="0"/>
    <xf numFmtId="179" fontId="2" fillId="5" borderId="1" pivotButton="0" quotePrefix="0" xfId="0"/>
    <xf numFmtId="0" fontId="2" fillId="3" borderId="1" pivotButton="0" quotePrefix="0" xfId="0"/>
    <xf numFmtId="176" fontId="0" fillId="3" borderId="1" pivotButton="0" quotePrefix="0" xfId="0"/>
    <xf numFmtId="177" fontId="2" fillId="5" borderId="1" pivotButton="0" quotePrefix="0" xfId="0"/>
    <xf numFmtId="9" fontId="0" fillId="3" borderId="1" pivotButton="0" quotePrefix="0" xfId="0"/>
    <xf numFmtId="0" fontId="1" fillId="2" borderId="0" pivotButton="0" quotePrefix="0" xfId="0"/>
    <xf numFmtId="0" fontId="0" fillId="2" borderId="0" pivotButton="0" quotePrefix="0" xfId="0"/>
    <xf numFmtId="166" fontId="0" fillId="4" borderId="1" pivotButton="0" quotePrefix="0" xfId="0"/>
    <xf numFmtId="166" fontId="0" fillId="3" borderId="1" pivotButton="0" quotePrefix="0" xfId="0"/>
    <xf numFmtId="3" fontId="0" fillId="4" borderId="1" pivotButton="0" quotePrefix="0" xfId="0"/>
    <xf numFmtId="166" fontId="0" fillId="5" borderId="1" pivotButton="0" quotePrefix="0" xfId="0"/>
    <xf numFmtId="166" fontId="2" fillId="5" borderId="1" pivotButton="0" quotePrefix="0" xfId="0"/>
    <xf numFmtId="3" fontId="0" fillId="5" borderId="1" pivotButton="0" quotePrefix="0" xfId="0"/>
    <xf numFmtId="2" fontId="0" fillId="5" borderId="1" pivotButton="0" quotePrefix="0" xfId="0"/>
    <xf numFmtId="4" fontId="0" fillId="5" borderId="1" pivotButton="0" quotePrefix="0" xfId="0"/>
    <xf numFmtId="3" fontId="2" fillId="5" borderId="1" pivotButton="0" quotePrefix="0" xfId="0"/>
    <xf numFmtId="0" fontId="3"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169" fontId="0" fillId="3"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Pt>
            <idx val="2"/>
            <spPr>
              <a:solidFill>
                <a:srgbClr val="EDA100"/>
              </a:solidFill>
              <a:ln>
                <a:solidFill>
                  <a:srgbClr val="EDA100"/>
                </a:solidFill>
                <a:prstDash val="solid"/>
              </a:ln>
            </spPr>
          </dPt>
          <dLbls>
            <numFmt formatCode="&quot;$&quot;#,##0&quot;B&quot;"/>
            <showLegendKey val="0"/>
            <showVal val="1"/>
            <showCatName val="0"/>
            <showSerName val="0"/>
            <showPercent val="0"/>
          </dLbls>
          <cat>
            <numRef>
              <f>'Summary'!$A$16:$A$18</f>
            </numRef>
          </cat>
          <val>
            <numRef>
              <f>'Summary'!$B$16:$B$18</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Bridge'!F48</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Pt>
            <idx val="3"/>
            <spPr>
              <a:solidFill>
                <a:srgbClr val="1BAF7A"/>
              </a:solidFill>
              <a:ln>
                <a:solidFill>
                  <a:srgbClr val="1BAF7A"/>
                </a:solidFill>
                <a:prstDash val="solid"/>
              </a:ln>
            </spPr>
          </dPt>
          <dPt>
            <idx val="4"/>
            <spPr>
              <a:solidFill>
                <a:srgbClr val="EDA100"/>
              </a:solidFill>
              <a:ln>
                <a:solidFill>
                  <a:srgbClr val="EDA100"/>
                </a:solidFill>
                <a:prstDash val="solid"/>
              </a:ln>
            </spPr>
          </dPt>
          <dLbls>
            <numFmt formatCode="&quot;$&quot;#,##0&quot;B&quot;"/>
            <showLegendKey val="0"/>
            <showVal val="1"/>
            <showCatName val="0"/>
            <showSerName val="0"/>
            <showPercent val="0"/>
          </dLbls>
          <cat>
            <numRef>
              <f>'Value Bridge'!$A$49:$A$53</f>
            </numRef>
          </cat>
          <val>
            <numRef>
              <f>'Value Bridge'!$F$49:$F$53</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5.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6.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7.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8.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9.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G43"/>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7" customWidth="1" min="7" max="7"/>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serving at the same quality — on a fraction of the hardware. This page shows how much of that spend becomes unnecessary, and where the savings come from."</f>
        <v/>
      </c>
    </row>
    <row r="3">
      <c r="A3">
        <f>"Scenario: "&amp;Scenario&amp;"   (change it on the Levers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Source</t>
        </is>
      </c>
      <c r="B15" s="11" t="inlineStr">
        <is>
          <t>$B / yr</t>
        </is>
      </c>
      <c r="C15" s="11" t="inlineStr">
        <is>
          <t>share</t>
        </is>
      </c>
      <c r="D15" s="11" t="inlineStr">
        <is>
          <t>How Helarctos does it</t>
        </is>
      </c>
      <c r="E15" s="12" t="n"/>
      <c r="F15" s="12" t="n"/>
      <c r="G15" s="13" t="n"/>
    </row>
    <row r="16" ht="46" customHeight="1">
      <c r="A16" s="11" t="inlineStr">
        <is>
          <t>Training clusters</t>
        </is>
      </c>
      <c r="B16" s="6">
        <f>'Value Bridge'!F70</f>
        <v/>
      </c>
      <c r="C16" s="14">
        <f>B16/$B$19</f>
        <v/>
      </c>
      <c r="D16" s="3">
        <f>"Same-quality model is "&amp;TEXT(SmallerModel,"0.0")&amp;"× smaller and needs "&amp;TEXT(FewerTokens,"0.0")&amp;"× fewer training tokens; each token trains "&amp;TEXT(TrainSpeed,"0.0")&amp;"× faster on long documents → "&amp;TEXT(TrainLever,"0")&amp;"× fewer GPU-hours → training clusters (and their capex) shrink."</f>
        <v/>
      </c>
    </row>
    <row r="17" ht="46" customHeight="1">
      <c r="A17" s="11" t="inlineStr">
        <is>
          <t>Serving GPUs</t>
        </is>
      </c>
      <c r="B17" s="6">
        <f>'Value Bridge'!G70</f>
        <v/>
      </c>
      <c r="C17" s="14">
        <f>B17/$B$19</f>
        <v/>
      </c>
      <c r="D17" s="3">
        <f>"A transformer's memory grows with every token of every live conversation; Helarctos keeps a fixed-size state (÷"&amp;TEXT(MemoryLever,"0")&amp;" memory) and does "&amp;TEXT(ServeComputeLever,"0")&amp;"× less compute per token. A GPU is bought whole, so the fleet shrinks by whichever limit binds: "&amp;TEXT(ServeGPULever,"0")&amp;"× fewer serving GPUs."</f>
        <v/>
      </c>
    </row>
    <row r="18" ht="46" customHeight="1">
      <c r="A18" s="11" t="inlineStr">
        <is>
          <t>Power &amp; operations</t>
        </is>
      </c>
      <c r="B18" s="6">
        <f>'Value Bridge'!K70</f>
        <v/>
      </c>
      <c r="C18" s="14">
        <f>B18/$B$19</f>
        <v/>
      </c>
      <c r="D18" s="3" t="inlineStr">
        <is>
          <t>Fewer chips draw less power and need less cooling.</t>
        </is>
      </c>
    </row>
    <row r="19">
      <c r="A19" s="11" t="inlineStr">
        <is>
          <t>TOTAL</t>
        </is>
      </c>
      <c r="B19" s="15">
        <f>SUM(B16:B18)</f>
        <v/>
      </c>
      <c r="C19" s="14">
        <f>SUM(C16:C18)</f>
        <v/>
      </c>
    </row>
    <row r="20">
      <c r="A20" s="3" t="inlineStr">
        <is>
          <t>Step-by-step build and the one-lever-at-a-time view: Value Bridge tab.</t>
        </is>
      </c>
    </row>
    <row r="23">
      <c r="A23" s="4" t="inlineStr">
        <is>
          <t>BY COMPANY — FY2026, $B</t>
        </is>
      </c>
      <c r="B23" s="5" t="n"/>
      <c r="C23" s="5" t="n"/>
      <c r="D23" s="5" t="n"/>
      <c r="E23" s="5" t="n"/>
      <c r="F23" s="5" t="n"/>
      <c r="G23" s="5" t="n"/>
    </row>
    <row r="24" ht="30" customHeight="1">
      <c r="A24" s="16" t="inlineStr">
        <is>
          <t>Company</t>
        </is>
      </c>
      <c r="B24" s="16" t="inlineStr">
        <is>
          <t>AI spend</t>
        </is>
      </c>
      <c r="C24" s="16" t="inlineStr">
        <is>
          <t>Helarctos saving / yr</t>
        </is>
      </c>
      <c r="D24" s="16" t="inlineStr">
        <is>
          <t>% of AI spend</t>
        </is>
      </c>
      <c r="E24" s="16" t="inlineStr">
        <is>
          <t>…of which training</t>
        </is>
      </c>
      <c r="F24" s="16" t="inlineStr">
        <is>
          <t>Net AI today</t>
        </is>
      </c>
      <c r="G24" s="16" t="inlineStr">
        <is>
          <t>Net AI with Helarctos</t>
        </is>
      </c>
    </row>
    <row r="25">
      <c r="A25" s="17" t="inlineStr">
        <is>
          <t>Microsoft</t>
        </is>
      </c>
      <c r="B25" s="6">
        <f>'Value Bridge'!M64</f>
        <v/>
      </c>
      <c r="C25" s="6">
        <f>'Value Bridge'!L64</f>
        <v/>
      </c>
      <c r="D25" s="14">
        <f>'Value Bridge'!N64</f>
        <v/>
      </c>
      <c r="E25" s="6">
        <f>'Value Bridge'!F64</f>
        <v/>
      </c>
      <c r="F25" s="6">
        <f>'Value Bridge'!P64</f>
        <v/>
      </c>
      <c r="G25" s="6">
        <f>'Value Bridge'!Q64</f>
        <v/>
      </c>
    </row>
    <row r="26">
      <c r="A26" s="17" t="inlineStr">
        <is>
          <t>Alphabet</t>
        </is>
      </c>
      <c r="B26" s="6">
        <f>'Value Bridge'!M65</f>
        <v/>
      </c>
      <c r="C26" s="6">
        <f>'Value Bridge'!L65</f>
        <v/>
      </c>
      <c r="D26" s="14">
        <f>'Value Bridge'!N65</f>
        <v/>
      </c>
      <c r="E26" s="6">
        <f>'Value Bridge'!F65</f>
        <v/>
      </c>
      <c r="F26" s="6">
        <f>'Value Bridge'!P65</f>
        <v/>
      </c>
      <c r="G26" s="6">
        <f>'Value Bridge'!Q65</f>
        <v/>
      </c>
    </row>
    <row r="27">
      <c r="A27" s="17" t="inlineStr">
        <is>
          <t>Amazon</t>
        </is>
      </c>
      <c r="B27" s="6">
        <f>'Value Bridge'!M66</f>
        <v/>
      </c>
      <c r="C27" s="6">
        <f>'Value Bridge'!L66</f>
        <v/>
      </c>
      <c r="D27" s="14">
        <f>'Value Bridge'!N66</f>
        <v/>
      </c>
      <c r="E27" s="6">
        <f>'Value Bridge'!F66</f>
        <v/>
      </c>
      <c r="F27" s="6">
        <f>'Value Bridge'!P66</f>
        <v/>
      </c>
      <c r="G27" s="6">
        <f>'Value Bridge'!Q66</f>
        <v/>
      </c>
    </row>
    <row r="28">
      <c r="A28" s="17" t="inlineStr">
        <is>
          <t>Meta</t>
        </is>
      </c>
      <c r="B28" s="6">
        <f>'Value Bridge'!M67</f>
        <v/>
      </c>
      <c r="C28" s="6">
        <f>'Value Bridge'!L67</f>
        <v/>
      </c>
      <c r="D28" s="14">
        <f>'Value Bridge'!N67</f>
        <v/>
      </c>
      <c r="E28" s="6">
        <f>'Value Bridge'!F67</f>
        <v/>
      </c>
      <c r="F28" s="6">
        <f>'Value Bridge'!P67</f>
        <v/>
      </c>
      <c r="G28" s="6">
        <f>'Value Bridge'!Q67</f>
        <v/>
      </c>
    </row>
    <row r="29">
      <c r="A29" s="17" t="inlineStr">
        <is>
          <t>Oracle</t>
        </is>
      </c>
      <c r="B29" s="6">
        <f>'Value Bridge'!M68</f>
        <v/>
      </c>
      <c r="C29" s="6">
        <f>'Value Bridge'!L68</f>
        <v/>
      </c>
      <c r="D29" s="14">
        <f>'Value Bridge'!N68</f>
        <v/>
      </c>
      <c r="E29" s="6">
        <f>'Value Bridge'!F68</f>
        <v/>
      </c>
      <c r="F29" s="6">
        <f>'Value Bridge'!P68</f>
        <v/>
      </c>
      <c r="G29" s="6">
        <f>'Value Bridge'!Q68</f>
        <v/>
      </c>
    </row>
    <row r="30">
      <c r="A30" s="17" t="inlineStr">
        <is>
          <t>SpaceX</t>
        </is>
      </c>
      <c r="B30" s="6">
        <f>'Value Bridge'!M69</f>
        <v/>
      </c>
      <c r="C30" s="6">
        <f>'Value Bridge'!L69</f>
        <v/>
      </c>
      <c r="D30" s="14">
        <f>'Value Bridge'!N69</f>
        <v/>
      </c>
      <c r="E30" s="6">
        <f>'Value Bridge'!F69</f>
        <v/>
      </c>
      <c r="F30" s="6">
        <f>'Value Bridge'!P69</f>
        <v/>
      </c>
      <c r="G30" s="6">
        <f>'Value Bridge'!Q69</f>
        <v/>
      </c>
    </row>
    <row r="31">
      <c r="A31" s="11" t="inlineStr">
        <is>
          <t>TOTAL (6)</t>
        </is>
      </c>
      <c r="B31" s="18">
        <f>'Value Bridge'!M70</f>
        <v/>
      </c>
      <c r="C31" s="18">
        <f>'Value Bridge'!L70</f>
        <v/>
      </c>
      <c r="D31" s="19">
        <f>'Value Bridge'!N70</f>
        <v/>
      </c>
      <c r="E31" s="18">
        <f>'Value Bridge'!F70</f>
        <v/>
      </c>
      <c r="F31" s="18">
        <f>'Value Bridge'!P70</f>
        <v/>
      </c>
      <c r="G31" s="18">
        <f>'Value Bridge'!Q70</f>
        <v/>
      </c>
    </row>
    <row r="33">
      <c r="A33" s="4" t="inlineStr">
        <is>
          <t>WHY THE ANSWER IS ~99% OF THE CHIP BILL — NOT "1,000×"</t>
        </is>
      </c>
      <c r="B33" s="5" t="n"/>
      <c r="C33" s="5" t="n"/>
      <c r="D33" s="5" t="n"/>
      <c r="E33" s="5" t="n"/>
      <c r="F33" s="5" t="n"/>
      <c r="G33" s="5" t="n"/>
    </row>
    <row r="34" ht="62" customHeight="1">
      <c r="A34" s="3" t="inlineStr">
        <is>
          <t>Multiples don't multiply. A GPU is bought whole — memory and compute together — so a serving fleet shrinks by whichever need falls LEAST (here the conservative 100× memory cap), not by 100 × 793. Cutting a fleet 100× already removes 99% of it;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serving; where each lever moves the needle</t>
        </is>
      </c>
    </row>
    <row r="39">
      <c r="A39" s="20" t="inlineStr">
        <is>
          <t>Levers</t>
        </is>
      </c>
      <c r="B39" s="3" t="inlineStr">
        <is>
          <t>the five Helarctos levers in plain English, how sure we are of each, the scenario switch, training shares</t>
        </is>
      </c>
    </row>
    <row r="40" ht="30" customHeight="1">
      <c r="A40" s="20" t="inlineStr">
        <is>
          <t>Microsoft / Alphabet / Amazon / Meta / Oracle / SpaceX</t>
        </is>
      </c>
      <c r="B40" s="3" t="inlineStr">
        <is>
          <t>each company's capex build from its filings (green = disclosed)</t>
        </is>
      </c>
    </row>
    <row r="41">
      <c r="A41" s="20" t="inlineStr">
        <is>
          <t>Technical appendix</t>
        </is>
      </c>
      <c r="B41" s="3" t="inlineStr">
        <is>
          <t>Totals, Inputs, Sensitivity, CostLadder, ServingTraining, Evidence, Methodology — the full engineering ledger behind the levers</t>
        </is>
      </c>
    </row>
    <row r="43">
      <c r="A43" s="3" t="inlineStr">
        <is>
          <t>Colours: yellow = assumption you can edit · green = disclosed filing / market data · blue = formula. Cash basis; FY2026 is company guidance; not investment advice.</t>
        </is>
      </c>
    </row>
  </sheetData>
  <mergeCells count="14">
    <mergeCell ref="B38:G38"/>
    <mergeCell ref="D18:G18"/>
    <mergeCell ref="D17:G17"/>
    <mergeCell ref="B37:G37"/>
    <mergeCell ref="A3:G3"/>
    <mergeCell ref="A34:G34"/>
    <mergeCell ref="D16:G16"/>
    <mergeCell ref="B41:G41"/>
    <mergeCell ref="A20:G20"/>
    <mergeCell ref="A2:G2"/>
    <mergeCell ref="D15:G15"/>
    <mergeCell ref="B40:G40"/>
    <mergeCell ref="A43:G43"/>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J70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Serving fleet — answers users</t>
        </is>
      </c>
      <c r="B14" s="6">
        <f>E70</f>
        <v/>
      </c>
      <c r="C14" s="14">
        <f>B14/B7</f>
        <v/>
      </c>
    </row>
    <row r="16">
      <c r="A16" s="4" t="inlineStr">
        <is>
          <t>STEP 3 — TRAINING: fewer GPU-hours per model → smaller training clusters → capex avoided</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…and each token trains faster on long documents</t>
        </is>
      </c>
      <c r="C20" s="21">
        <f>TrainSpeed</f>
        <v/>
      </c>
      <c r="D20" s="3" t="inlineStr">
        <is>
          <t>flat cost per token vs. rising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20" t="inlineStr">
        <is>
          <t>TRAINING CAPEX AVOIDED</t>
        </is>
      </c>
      <c r="B23" s="15">
        <f>B17-B22</f>
        <v/>
      </c>
    </row>
    <row r="24" ht="48" customHeight="1">
      <c r="A24"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opex avoided, Step 5)."</f>
        <v/>
      </c>
    </row>
    <row r="26">
      <c r="A26" s="4" t="inlineStr">
        <is>
          <t>STEP 4 — SERVING: less memory and more conversations per GPU → fewer serving GPUs</t>
        </is>
      </c>
      <c r="B26" s="5" t="n"/>
      <c r="C26" s="4" t="inlineStr">
        <is>
          <t>lever</t>
        </is>
      </c>
      <c r="D26" s="5" t="n"/>
      <c r="E26" s="5" t="n"/>
      <c r="F26" s="5" t="n"/>
      <c r="G26" s="5" t="n"/>
      <c r="H26" s="5" t="n"/>
      <c r="I26" s="5" t="n"/>
    </row>
    <row r="27">
      <c r="A27" s="3" t="inlineStr">
        <is>
          <t>Serving fleet capex today</t>
        </is>
      </c>
      <c r="B27" s="6">
        <f>B14</f>
        <v/>
      </c>
    </row>
    <row r="28">
      <c r="A28" s="3" t="inlineStr">
        <is>
          <t>Memory needed per conversation falls by</t>
        </is>
      </c>
      <c r="C28" s="23">
        <f>MemoryLever</f>
        <v/>
      </c>
      <c r="D28" s="3" t="inlineStr">
        <is>
          <t>fixed-size state (lever 4)</t>
        </is>
      </c>
    </row>
    <row r="29">
      <c r="A29" s="3" t="inlineStr">
        <is>
          <t>Compute needed per token falls by</t>
        </is>
      </c>
      <c r="C29" s="21">
        <f>ServeComputeLever</f>
        <v/>
      </c>
      <c r="D29" s="3" t="inlineStr">
        <is>
          <t>smaller model × more conversations per GPU (levers 1 × 5)</t>
        </is>
      </c>
    </row>
    <row r="30">
      <c r="A30" s="20" t="inlineStr">
        <is>
          <t>GPUs needed fall by — whichever limit binds</t>
        </is>
      </c>
      <c r="C30" s="22">
        <f>ServeGPULever</f>
        <v/>
      </c>
      <c r="D30" s="3" t="inlineStr">
        <is>
          <t>the smaller of the two: a GPU is bought whole</t>
        </is>
      </c>
    </row>
    <row r="31">
      <c r="A31" t="inlineStr">
        <is>
          <t>Serving fleet needed with Helarctos</t>
        </is>
      </c>
      <c r="B31" s="6">
        <f>B27/C30</f>
        <v/>
      </c>
    </row>
    <row r="32">
      <c r="A32" s="20" t="inlineStr">
        <is>
          <t>SERVING CAPEX AVOIDED</t>
        </is>
      </c>
      <c r="B32" s="15">
        <f>B27-B31</f>
        <v/>
      </c>
      <c r="D32" s="3" t="inlineStr">
        <is>
          <t>A GPU brings memory and compute together; the fleet must cover whichever runs out first. Transformers at long context run out of MEMORY (the growing KV cache), so memory is the limit we relieve first; compute then binds only if it falls less than memory.</t>
        </is>
      </c>
    </row>
    <row r="33">
      <c r="A33" s="4" t="inlineStr">
        <is>
          <t>STEP 5 — Power &amp; operations shrink with the fleet</t>
        </is>
      </c>
      <c r="B33" s="5" t="n"/>
      <c r="C33" s="5" t="n"/>
      <c r="D33" s="5" t="n"/>
      <c r="E33" s="5" t="n"/>
      <c r="F33" s="5" t="n"/>
      <c r="G33" s="5" t="n"/>
      <c r="H33" s="5" t="n"/>
      <c r="I33" s="5" t="n"/>
    </row>
    <row r="34">
      <c r="A34" s="3" t="inlineStr">
        <is>
          <t>Power &amp; operations for the chip fleet today</t>
        </is>
      </c>
      <c r="B34" s="6">
        <f>B8</f>
        <v/>
      </c>
    </row>
    <row r="35">
      <c r="A35" s="3" t="inlineStr">
        <is>
          <t>Power &amp; operations saved per year</t>
        </is>
      </c>
      <c r="B35" s="6">
        <f>K70</f>
        <v/>
      </c>
      <c r="D35" s="3" t="inlineStr">
        <is>
          <t>Same share as the chip fleet cut.</t>
        </is>
      </c>
    </row>
    <row r="37">
      <c r="A37" s="4" t="inlineStr">
        <is>
          <t>RESULT — FY2026</t>
        </is>
      </c>
      <c r="B37" s="5" t="n"/>
      <c r="C37" s="5" t="n"/>
      <c r="D37" s="5" t="n"/>
      <c r="E37" s="5" t="n"/>
      <c r="F37" s="5" t="n"/>
      <c r="G37" s="5" t="n"/>
      <c r="H37" s="5" t="n"/>
      <c r="I37" s="5" t="n"/>
    </row>
    <row r="38">
      <c r="A38" s="3" t="inlineStr">
        <is>
          <t>Training capex avoided</t>
        </is>
      </c>
      <c r="B38" s="6">
        <f>B23</f>
        <v/>
      </c>
    </row>
    <row r="39">
      <c r="A39" s="3" t="inlineStr">
        <is>
          <t>Serving capex avoided</t>
        </is>
      </c>
      <c r="B39" s="6">
        <f>B32</f>
        <v/>
      </c>
    </row>
    <row r="40">
      <c r="A40" s="3" t="inlineStr">
        <is>
          <t>Power &amp; operations saved</t>
        </is>
      </c>
      <c r="B40" s="6">
        <f>B35</f>
        <v/>
      </c>
    </row>
    <row r="41">
      <c r="A41" s="20" t="inlineStr">
        <is>
          <t>SPEND HELARCTOS MAKES UNNECESSARY, per year</t>
        </is>
      </c>
      <c r="B41" s="15">
        <f>B38+B39+B40</f>
        <v/>
      </c>
      <c r="D41" s="3" t="inlineStr">
        <is>
          <t>Ties to the detail table total below.</t>
        </is>
      </c>
    </row>
    <row r="42">
      <c r="A42" s="20" t="inlineStr">
        <is>
          <t>…as a share of all AI spend</t>
        </is>
      </c>
      <c r="B42" s="19">
        <f>B41/M70</f>
        <v/>
      </c>
    </row>
    <row r="43">
      <c r="A43" s="3" t="inlineStr">
        <is>
          <t>…as a share of the AI-chip bill</t>
        </is>
      </c>
      <c r="B43" s="14">
        <f>(B23+B32)/B7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Serving memory falls by</t>
        </is>
      </c>
      <c r="D48" s="16" t="inlineStr">
        <is>
          <t>Serving compute falls by</t>
        </is>
      </c>
      <c r="E48" s="16" t="inlineStr">
        <is>
          <t>Chip fleet cut (serving GPUs fall by the smaller)</t>
        </is>
      </c>
      <c r="F48" s="16" t="inlineStr">
        <is>
          <t>Spend cut, $B/yr</t>
        </is>
      </c>
      <c r="G48" s="16" t="inlineStr">
        <is>
          <t>Added by this step</t>
        </is>
      </c>
    </row>
    <row r="49">
      <c r="A49" s="24" t="inlineStr">
        <is>
          <t>Today's transformer fleet</t>
        </is>
      </c>
      <c r="B49" s="21" t="n">
        <v>1</v>
      </c>
      <c r="C49" s="23" t="n">
        <v>1</v>
      </c>
      <c r="D49" s="21" t="n">
        <v>1</v>
      </c>
      <c r="E49" s="25">
        <f>(D70*(1-1/B49)+E70*(1-1/MIN(C49,D49)))/B70</f>
        <v/>
      </c>
      <c r="F49" s="18">
        <f>E49*(B70+J70)</f>
        <v/>
      </c>
      <c r="G49" s="26">
        <f>F49</f>
        <v/>
      </c>
    </row>
    <row r="50">
      <c r="A50" s="24" t="inlineStr">
        <is>
          <t>Smaller model for the same quality (levers 1, 2)</t>
        </is>
      </c>
      <c r="B50" s="21">
        <f>SmallerModel^2</f>
        <v/>
      </c>
      <c r="C50" s="23" t="n">
        <v>1</v>
      </c>
      <c r="D50" s="21">
        <f>SmallerModel</f>
        <v/>
      </c>
      <c r="E50" s="25">
        <f>(D70*(1-1/B50)+E70*(1-1/MIN(C50,D50)))/B70</f>
        <v/>
      </c>
      <c r="F50" s="18">
        <f>E50*(B70+J70)</f>
        <v/>
      </c>
      <c r="G50" s="26">
        <f>F50-F49</f>
        <v/>
      </c>
    </row>
    <row r="51">
      <c r="A51" s="24" t="inlineStr">
        <is>
          <t>+ Fixed-size memory per conversation (lever 4)</t>
        </is>
      </c>
      <c r="B51" s="21">
        <f>SmallerModel^2</f>
        <v/>
      </c>
      <c r="C51" s="23">
        <f>MemoryLever</f>
        <v/>
      </c>
      <c r="D51" s="21">
        <f>SmallerModel</f>
        <v/>
      </c>
      <c r="E51" s="25">
        <f>(D70*(1-1/B51)+E70*(1-1/MIN(C51,D51)))/B70</f>
        <v/>
      </c>
      <c r="F51" s="18">
        <f>E51*(B70+J70)</f>
        <v/>
      </c>
      <c r="G51" s="26">
        <f>F51-F50</f>
        <v/>
      </c>
    </row>
    <row r="52">
      <c r="A52" s="24" t="inlineStr">
        <is>
          <t>+ Many more conversations per GPU (lever 5)</t>
        </is>
      </c>
      <c r="B52" s="21">
        <f>SmallerModel^2</f>
        <v/>
      </c>
      <c r="C52" s="23">
        <f>MemoryLever</f>
        <v/>
      </c>
      <c r="D52" s="21">
        <f>ServeComputeLever</f>
        <v/>
      </c>
      <c r="E52" s="25">
        <f>(D70*(1-1/B52)+E70*(1-1/MIN(C52,D52)))/B70</f>
        <v/>
      </c>
      <c r="F52" s="18">
        <f>E52*(B70+J70)</f>
        <v/>
      </c>
      <c r="G52" s="26">
        <f>F52-F51</f>
        <v/>
      </c>
    </row>
    <row r="53">
      <c r="A53" s="27" t="inlineStr">
        <is>
          <t>+ Faster training on long documents (lever 3)</t>
        </is>
      </c>
      <c r="B53" s="21">
        <f>TrainLever</f>
        <v/>
      </c>
      <c r="C53" s="23">
        <f>MemoryLever</f>
        <v/>
      </c>
      <c r="D53" s="21">
        <f>ServeComputeLever</f>
        <v/>
      </c>
      <c r="E53" s="25">
        <f>(D70*(1-1/B53)+E70*(1-1/MIN(C53,D53)))/B70</f>
        <v/>
      </c>
      <c r="F53" s="18">
        <f>E53*(B70+J70)</f>
        <v/>
      </c>
      <c r="G53" s="26">
        <f>F53-F52</f>
        <v/>
      </c>
    </row>
    <row r="55" ht="62" customHeight="1">
      <c r="A55" s="3" t="inlineStr">
        <is>
          <t>Read this as: the smaller model alone removes nearly all of the TRAINING bill (fewer parameters AND fewer tokens compound) but no serving GPUs — at long context a transformer's serving GPUs are full of memory (the growing KV cache), not busy computing, and a smaller model doesn't change that. Fixed-size memory unlocks serving, until compute becomes the limit; many more conversations per GPU lifts that limit. The last levers have big multiples but add little, because by then over 95% of the cost is already gone: a cost can only fall to zero once. That is why this workbook reports dollars, not multiples. The order is the storyline; the end point does not depend on it.</t>
        </is>
      </c>
    </row>
    <row r="57">
      <c r="A57" s="4" t="inlineStr">
        <is>
          <t>CROSS-CHECK against the technical Totals tab</t>
        </is>
      </c>
      <c r="B57" s="5" t="n"/>
      <c r="C57" s="5" t="n"/>
      <c r="D57" s="5" t="n"/>
      <c r="E57" s="5" t="n"/>
      <c r="F57" s="5" t="n"/>
      <c r="G57" s="5" t="n"/>
      <c r="H57" s="5" t="n"/>
      <c r="I57" s="5" t="n"/>
    </row>
    <row r="58">
      <c r="A58" s="3" t="inlineStr">
        <is>
          <t>Totals tab, FY2026 spend cut (memory and compute priced separately, ~154×)</t>
        </is>
      </c>
      <c r="B58" s="6">
        <f>Totals!$F$13</f>
        <v/>
      </c>
    </row>
    <row r="59">
      <c r="A59" s="3" t="inlineStr">
        <is>
          <t>This bridge (training on GPU-hours, serving on whole GPUs)</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Serving fleet</t>
        </is>
      </c>
      <c r="F63" s="16" t="inlineStr">
        <is>
          <t>Training capex avoided</t>
        </is>
      </c>
      <c r="G63" s="16" t="inlineStr">
        <is>
          <t>Serving capex avoided</t>
        </is>
      </c>
      <c r="H63" s="16" t="inlineStr">
        <is>
          <t>Serving fleet needed</t>
        </is>
      </c>
      <c r="I63" s="16" t="inlineStr">
        <is>
          <t>Chip capex avoided</t>
        </is>
      </c>
      <c r="J63" s="16" t="inlineStr">
        <is>
          <t>Power &amp; ops today</t>
        </is>
      </c>
      <c r="K63" s="16" t="inlineStr">
        <is>
          <t>Power &amp; ops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E64*(1-1/ServeGPULever)</f>
        <v/>
      </c>
      <c r="H64" s="28">
        <f>E64/ServeGPULever</f>
        <v/>
      </c>
      <c r="I64" s="6">
        <f>F64+G64</f>
        <v/>
      </c>
      <c r="J64" s="28">
        <f>'Microsoft'!$C$34</f>
        <v/>
      </c>
      <c r="K64" s="28">
        <f>IF(B64&gt;0,J64*I64/B64,0)</f>
        <v/>
      </c>
      <c r="L64" s="18">
        <f>I64+K64</f>
        <v/>
      </c>
      <c r="M64" s="6">
        <f>'Microsoft'!$C$10+J64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E65*(1-1/ServeGPULever)</f>
        <v/>
      </c>
      <c r="H65" s="28">
        <f>E65/ServeGPULever</f>
        <v/>
      </c>
      <c r="I65" s="6">
        <f>F65+G65</f>
        <v/>
      </c>
      <c r="J65" s="28">
        <f>'Alphabet'!$C$34</f>
        <v/>
      </c>
      <c r="K65" s="28">
        <f>IF(B65&gt;0,J65*I65/B65,0)</f>
        <v/>
      </c>
      <c r="L65" s="18">
        <f>I65+K65</f>
        <v/>
      </c>
      <c r="M65" s="6">
        <f>'Alphabet'!$C$10+J65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E66*(1-1/ServeGPULever)</f>
        <v/>
      </c>
      <c r="H66" s="28">
        <f>E66/ServeGPULever</f>
        <v/>
      </c>
      <c r="I66" s="6">
        <f>F66+G66</f>
        <v/>
      </c>
      <c r="J66" s="28">
        <f>'Amazon'!$C$34</f>
        <v/>
      </c>
      <c r="K66" s="28">
        <f>IF(B66&gt;0,J66*I66/B66,0)</f>
        <v/>
      </c>
      <c r="L66" s="18">
        <f>I66+K66</f>
        <v/>
      </c>
      <c r="M66" s="6">
        <f>'Amazon'!$C$10+J66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E67*(1-1/ServeGPULever)</f>
        <v/>
      </c>
      <c r="H67" s="28">
        <f>E67/ServeGPULever</f>
        <v/>
      </c>
      <c r="I67" s="6">
        <f>F67+G67</f>
        <v/>
      </c>
      <c r="J67" s="28">
        <f>'Meta'!$C$34</f>
        <v/>
      </c>
      <c r="K67" s="28">
        <f>IF(B67&gt;0,J67*I67/B67,0)</f>
        <v/>
      </c>
      <c r="L67" s="18">
        <f>I67+K67</f>
        <v/>
      </c>
      <c r="M67" s="6">
        <f>'Meta'!$C$10+J67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E68*(1-1/ServeGPULever)</f>
        <v/>
      </c>
      <c r="H68" s="28">
        <f>E68/ServeGPULever</f>
        <v/>
      </c>
      <c r="I68" s="6">
        <f>F68+G68</f>
        <v/>
      </c>
      <c r="J68" s="28">
        <f>'Oracle'!$C$34</f>
        <v/>
      </c>
      <c r="K68" s="28">
        <f>IF(B68&gt;0,J68*I68/B68,0)</f>
        <v/>
      </c>
      <c r="L68" s="18">
        <f>I68+K68</f>
        <v/>
      </c>
      <c r="M68" s="6">
        <f>'Oracle'!$C$10+J68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E69*(1-1/ServeGPULever)</f>
        <v/>
      </c>
      <c r="H69" s="28">
        <f>E69/ServeGPULever</f>
        <v/>
      </c>
      <c r="I69" s="6">
        <f>F69+G69</f>
        <v/>
      </c>
      <c r="J69" s="28">
        <f>'SpaceX'!$C$34</f>
        <v/>
      </c>
      <c r="K69" s="28">
        <f>IF(B69&gt;0,J69*I69/B69,0)</f>
        <v/>
      </c>
      <c r="L69" s="18">
        <f>I69+K69</f>
        <v/>
      </c>
      <c r="M69" s="6">
        <f>'SpaceX'!$C$10+J69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29">
        <f>SUM(H64:H69)</f>
        <v/>
      </c>
      <c r="I70" s="18">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Serving fleet</t>
        </is>
      </c>
      <c r="F74" s="16" t="inlineStr">
        <is>
          <t>Training capex avoided</t>
        </is>
      </c>
      <c r="G74" s="16" t="inlineStr">
        <is>
          <t>Serving capex avoided</t>
        </is>
      </c>
      <c r="H74" s="16" t="inlineStr">
        <is>
          <t>Serving fleet needed</t>
        </is>
      </c>
      <c r="I74" s="16" t="inlineStr">
        <is>
          <t>Chip capex avoided</t>
        </is>
      </c>
      <c r="J74" s="16" t="inlineStr">
        <is>
          <t>Power &amp; ops today</t>
        </is>
      </c>
      <c r="K74" s="16" t="inlineStr">
        <is>
          <t>Power &amp; ops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E75*(1-1/ServeGPULever)</f>
        <v/>
      </c>
      <c r="H75" s="28">
        <f>E75/ServeGPULever</f>
        <v/>
      </c>
      <c r="I75" s="6">
        <f>F75+G75</f>
        <v/>
      </c>
      <c r="J75" s="28">
        <f>'Microsoft'!$B$34</f>
        <v/>
      </c>
      <c r="K75" s="28">
        <f>IF(B75&gt;0,J75*I75/B75,0)</f>
        <v/>
      </c>
      <c r="L75" s="18">
        <f>I75+K75</f>
        <v/>
      </c>
      <c r="M75" s="6">
        <f>'Microsoft'!$B$10+J75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E76*(1-1/ServeGPULever)</f>
        <v/>
      </c>
      <c r="H76" s="28">
        <f>E76/ServeGPULever</f>
        <v/>
      </c>
      <c r="I76" s="6">
        <f>F76+G76</f>
        <v/>
      </c>
      <c r="J76" s="28">
        <f>'Alphabet'!$B$34</f>
        <v/>
      </c>
      <c r="K76" s="28">
        <f>IF(B76&gt;0,J76*I76/B76,0)</f>
        <v/>
      </c>
      <c r="L76" s="18">
        <f>I76+K76</f>
        <v/>
      </c>
      <c r="M76" s="6">
        <f>'Alphabet'!$B$10+J76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E77*(1-1/ServeGPULever)</f>
        <v/>
      </c>
      <c r="H77" s="28">
        <f>E77/ServeGPULever</f>
        <v/>
      </c>
      <c r="I77" s="6">
        <f>F77+G77</f>
        <v/>
      </c>
      <c r="J77" s="28">
        <f>'Amazon'!$B$34</f>
        <v/>
      </c>
      <c r="K77" s="28">
        <f>IF(B77&gt;0,J77*I77/B77,0)</f>
        <v/>
      </c>
      <c r="L77" s="18">
        <f>I77+K77</f>
        <v/>
      </c>
      <c r="M77" s="6">
        <f>'Amazon'!$B$10+J77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E78*(1-1/ServeGPULever)</f>
        <v/>
      </c>
      <c r="H78" s="28">
        <f>E78/ServeGPULever</f>
        <v/>
      </c>
      <c r="I78" s="6">
        <f>F78+G78</f>
        <v/>
      </c>
      <c r="J78" s="28">
        <f>'Meta'!$B$34</f>
        <v/>
      </c>
      <c r="K78" s="28">
        <f>IF(B78&gt;0,J78*I78/B78,0)</f>
        <v/>
      </c>
      <c r="L78" s="18">
        <f>I78+K78</f>
        <v/>
      </c>
      <c r="M78" s="6">
        <f>'Meta'!$B$10+J78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E79*(1-1/ServeGPULever)</f>
        <v/>
      </c>
      <c r="H79" s="28">
        <f>E79/ServeGPULever</f>
        <v/>
      </c>
      <c r="I79" s="6">
        <f>F79+G79</f>
        <v/>
      </c>
      <c r="J79" s="28">
        <f>'Oracle'!$B$34</f>
        <v/>
      </c>
      <c r="K79" s="28">
        <f>IF(B79&gt;0,J79*I79/B79,0)</f>
        <v/>
      </c>
      <c r="L79" s="18">
        <f>I79+K79</f>
        <v/>
      </c>
      <c r="M79" s="6">
        <f>'Oracle'!$B$10+J79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E80*(1-1/ServeGPULever)</f>
        <v/>
      </c>
      <c r="H80" s="28">
        <f>E80/ServeGPULever</f>
        <v/>
      </c>
      <c r="I80" s="6">
        <f>F80+G80</f>
        <v/>
      </c>
      <c r="J80" s="28">
        <f>'SpaceX'!$B$34</f>
        <v/>
      </c>
      <c r="K80" s="28">
        <f>IF(B80&gt;0,J80*I80/B80,0)</f>
        <v/>
      </c>
      <c r="L80" s="18">
        <f>I80+K80</f>
        <v/>
      </c>
      <c r="M80" s="6">
        <f>'SpaceX'!$B$10+J80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29">
        <f>SUM(H75:H80)</f>
        <v/>
      </c>
      <c r="I81" s="18">
        <f>SUM(I75:I80)</f>
        <v/>
      </c>
      <c r="J81" s="29">
        <f>SUM(J75:J80)</f>
        <v/>
      </c>
      <c r="K81" s="29">
        <f>SUM(K75:K80)</f>
        <v/>
      </c>
      <c r="L81" s="18">
        <f>SUM(L75:L80)</f>
        <v/>
      </c>
      <c r="M81" s="18">
        <f>SUM(M75:M80)</f>
        <v/>
      </c>
      <c r="N81" s="19">
        <f>L81/M81</f>
        <v/>
      </c>
      <c r="O81" s="18">
        <f>SUM(O75:O80)</f>
        <v/>
      </c>
      <c r="P81" s="18">
        <f>SUM(P75:P80)</f>
        <v/>
      </c>
      <c r="Q81" s="18">
        <f>SUM(Q75:Q80)</f>
        <v/>
      </c>
    </row>
  </sheetData>
  <mergeCells count="21">
    <mergeCell ref="D13:I13"/>
    <mergeCell ref="D32:I32"/>
    <mergeCell ref="D41:I41"/>
    <mergeCell ref="A55:I55"/>
    <mergeCell ref="D7:I7"/>
    <mergeCell ref="A2:I2"/>
    <mergeCell ref="D28:I28"/>
    <mergeCell ref="D18:I18"/>
    <mergeCell ref="D9:I9"/>
    <mergeCell ref="D30:I30"/>
    <mergeCell ref="D29:I29"/>
    <mergeCell ref="D5:I5"/>
    <mergeCell ref="D35:I35"/>
    <mergeCell ref="D20:I20"/>
    <mergeCell ref="D60:I60"/>
    <mergeCell ref="A24:I24"/>
    <mergeCell ref="D19:I19"/>
    <mergeCell ref="D10:I10"/>
    <mergeCell ref="D45:I45"/>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0" customWidth="1" min="2" max="2"/>
    <col width="12" customWidth="1" min="3" max="3"/>
    <col width="12" customWidth="1" min="4" max="4"/>
    <col width="14" customWidth="1" min="5" max="5"/>
    <col width="24" customWidth="1" min="6" max="6"/>
    <col width="72" customWidth="1" min="7" max="7"/>
    <col width="28"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 TARGET awaiting measurement), what it means, and which part of the AI bill it shrinks. Blue cells are linked to the technical Inputs tab; yellow cells are assumptions you can edit.</t>
        </is>
      </c>
    </row>
    <row r="4" ht="32" customHeight="1">
      <c r="B4" s="7" t="inlineStr">
        <is>
          <t>Scenario (pick from the list)</t>
        </is>
      </c>
      <c r="C4" s="30" t="inlineStr">
        <is>
          <t>Today</t>
        </is>
      </c>
      <c r="D4" s="3" t="inlineStr">
        <is>
          <t>Today = the software kernels we have already built and measured. Optimized kernels = our funded kernel programme lands (a TARGET, not yet measured). The dollars differ by under 1%.</t>
        </is>
      </c>
    </row>
    <row r="6">
      <c r="A6" s="16" t="inlineStr">
        <is>
          <t>#</t>
        </is>
      </c>
      <c r="B6" s="16" t="inlineStr">
        <is>
          <t>Lever</t>
        </is>
      </c>
      <c r="C6" s="16" t="inlineStr">
        <is>
          <t>Active</t>
        </is>
      </c>
      <c r="D6" s="16" t="inlineStr">
        <is>
          <t>Today</t>
        </is>
      </c>
      <c r="E6" s="16" t="inlineStr">
        <is>
          <t>Optimized kernels</t>
        </is>
      </c>
      <c r="F6" s="16" t="inlineStr">
        <is>
          <t>How sure are we?</t>
        </is>
      </c>
      <c r="G6" s="16" t="inlineStr">
        <is>
          <t>What it means</t>
        </is>
      </c>
      <c r="H6" s="16" t="inlineStr">
        <is>
          <t>Where it saves money</t>
        </is>
      </c>
    </row>
    <row r="7" ht="78" customHeight="1">
      <c r="A7" s="17" t="inlineStr">
        <is>
          <t>1</t>
        </is>
      </c>
      <c r="B7" s="27" t="inlineStr">
        <is>
          <t>Smaller model for the same quality</t>
        </is>
      </c>
      <c r="C7" s="22">
        <f>IF(Scenario="Today",D7,E7)</f>
        <v/>
      </c>
      <c r="D7" s="21">
        <f>Inputs!$B$23</f>
        <v/>
      </c>
      <c r="E7" s="21">
        <f>Inputs!$B$23</f>
        <v/>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AND serving compute</t>
        </is>
      </c>
    </row>
    <row r="8" ht="78" customHeight="1">
      <c r="A8" s="17" t="inlineStr">
        <is>
          <t>2</t>
        </is>
      </c>
      <c r="B8" s="27" t="inlineStr">
        <is>
          <t>Fewer training tokens needed</t>
        </is>
      </c>
      <c r="C8" s="22">
        <f>IF(Scenario="Today",D8,E8)</f>
        <v/>
      </c>
      <c r="D8" s="21">
        <f>D7</f>
        <v/>
      </c>
      <c r="E8" s="21">
        <f>E7</f>
        <v/>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78" customHeight="1">
      <c r="A9" s="17" t="inlineStr">
        <is>
          <t>3</t>
        </is>
      </c>
      <c r="B9" s="27" t="inlineStr">
        <is>
          <t>Faster training per token on long documents</t>
        </is>
      </c>
      <c r="C9" s="22">
        <f>IF(Scenario="Today",D9,E9)</f>
        <v/>
      </c>
      <c r="D9" s="31" t="n">
        <v>2.220667013967386</v>
      </c>
      <c r="E9" s="31" t="n">
        <v>3.967000451897755</v>
      </c>
      <c r="F9" s="24" t="inlineStr">
        <is>
          <t>Today: MEASURED cost per token at each document length; the training mix is illustrative. Optimized: TARGET</t>
        </is>
      </c>
      <c r="G9" s="24" t="inlineStr">
        <is>
          <t>A transformer's cost per token rises with document length (each token looks back over all the earlier ones); Helarctos' stays flat. Over a modern training mix (70% at 8k / 20% at 64k / 10% at 256k tokens) that is 2.2× cheaper per token. On short documents alone the transformer is still faster today (0.58× at 2k tokens).</t>
        </is>
      </c>
      <c r="H9" s="24" t="inlineStr">
        <is>
          <t>Training</t>
        </is>
      </c>
    </row>
    <row r="10" ht="78" customHeight="1">
      <c r="A10" s="17" t="inlineStr">
        <is>
          <t>4</t>
        </is>
      </c>
      <c r="B10" s="27" t="inlineStr">
        <is>
          <t>Memory per live conversation</t>
        </is>
      </c>
      <c r="C10" s="32">
        <f>IF(Scenario="Today",D10,E10)</f>
        <v/>
      </c>
      <c r="D10" s="23">
        <f>Inputs!$B$2</f>
        <v/>
      </c>
      <c r="E10" s="23">
        <f>Inputs!$B$2</f>
        <v/>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Serving GPUs (the memory limit)</t>
        </is>
      </c>
    </row>
    <row r="11" ht="78" customHeight="1">
      <c r="A11" s="17" t="inlineStr">
        <is>
          <t>5</t>
        </is>
      </c>
      <c r="B11" s="27" t="inlineStr">
        <is>
          <t>More conversations served per GPU</t>
        </is>
      </c>
      <c r="C11" s="22">
        <f>IF(Scenario="Today",D11,E11)</f>
        <v/>
      </c>
      <c r="D11" s="21">
        <f>Inputs!$B$24/Inputs!$B$23</f>
        <v/>
      </c>
      <c r="E11" s="21">
        <f>Inputs!$B$25/Inputs!$B$23</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(used here), ~368× at 256k.</t>
        </is>
      </c>
      <c r="H11" s="24" t="inlineStr">
        <is>
          <t>Serving GPUs (the compute limit)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Serving: memory needed per conversation falls by</t>
        </is>
      </c>
      <c r="C15" s="32">
        <f>MemoryLever</f>
        <v/>
      </c>
      <c r="D15" s="3" t="inlineStr">
        <is>
          <t>lever 4</t>
        </is>
      </c>
    </row>
    <row r="16" ht="30" customHeight="1">
      <c r="B16" s="27" t="inlineStr">
        <is>
          <t>Serving: compute needed per token falls by</t>
        </is>
      </c>
      <c r="C16" s="22">
        <f>SmallerModel*ServeThroughput</f>
        <v/>
      </c>
      <c r="D16" s="3" t="inlineStr">
        <is>
          <t>lever 1 × lever 5</t>
        </is>
      </c>
    </row>
    <row r="17" ht="30" customHeight="1">
      <c r="B17" s="27" t="inlineStr">
        <is>
          <t>Serving: GPUs needed fall by</t>
        </is>
      </c>
      <c r="C17" s="22">
        <f>MIN(MemoryLever,ServeComputeLever)</f>
        <v/>
      </c>
      <c r="D17" s="3" t="inlineStr">
        <is>
          <t>A GPU is bought whole — memory and compute come together. The serving fleet has to cover whichever runs out first, so it shrinks by the SMALLER of the two levers (here the conservative ÷100 memory cap). Multiplying them (100 × 793 = 79,000×) would be wrong.</t>
        </is>
      </c>
    </row>
    <row r="18" ht="30" customHeight="1">
      <c r="B18" s="27" t="inlineStr">
        <is>
          <t>For reference: technical tabs' blended serving cut</t>
        </is>
      </c>
      <c r="C18" s="22">
        <f>Inputs!$B$20</f>
        <v/>
      </c>
      <c r="D18" s="3" t="inlineStr">
        <is>
          <t>The technical appendix (Totals, company tabs) prices memory (~60% of a GPU's cost) and compute (~40%) separately and blends them (~154×). Same chip bill, under $1B apart on FY2026.</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serving users). Per-company estimates below follow what each firm is known to be building.</t>
        </is>
      </c>
    </row>
    <row r="22">
      <c r="B22" s="17" t="inlineStr">
        <is>
          <t>Microsoft</t>
        </is>
      </c>
      <c r="C22" s="33" t="n">
        <v>0.25</v>
      </c>
      <c r="D22" s="3" t="inlineStr">
        <is>
          <t>Inference-tilted: Azure serves the OpenAI API and Copilot; frontier training is moving to dedicated Stargate sites.</t>
        </is>
      </c>
    </row>
    <row r="23">
      <c r="B23" s="17" t="inlineStr">
        <is>
          <t>Alphabet</t>
        </is>
      </c>
      <c r="C23" s="33" t="n">
        <v>0.35</v>
      </c>
      <c r="D23" s="3" t="inlineStr">
        <is>
          <t>Trains Gemini on TPUs, but runs the largest inference estate (Search, ads, Cloud).</t>
        </is>
      </c>
    </row>
    <row r="24">
      <c r="B24" s="17" t="inlineStr">
        <is>
          <t>Amazon</t>
        </is>
      </c>
      <c r="C24" s="33" t="n">
        <v>0.35</v>
      </c>
      <c r="D24" s="3" t="inlineStr">
        <is>
          <t>Hosts large training clusters (Trainium) inside a broad AWS inference-rental business.</t>
        </is>
      </c>
    </row>
    <row r="25">
      <c r="B25" s="17" t="inlineStr">
        <is>
          <t>Meta</t>
        </is>
      </c>
      <c r="C25" s="33" t="n">
        <v>0.45</v>
      </c>
      <c r="D25" s="3" t="inlineStr">
        <is>
          <t>FY26 capex raise is driven by frontier training clusters, on top of ads-ranking inference.</t>
        </is>
      </c>
    </row>
    <row r="26">
      <c r="B26" s="17" t="inlineStr">
        <is>
          <t>Oracle</t>
        </is>
      </c>
      <c r="C26" s="33" t="n">
        <v>0.55</v>
      </c>
      <c r="D26" s="3" t="inlineStr">
        <is>
          <t>Stargate's dedicated OpenAI training data centres run on OCI.</t>
        </is>
      </c>
    </row>
    <row r="27">
      <c r="B27" s="17" t="inlineStr">
        <is>
          <t>SpaceX</t>
        </is>
      </c>
      <c r="C27" s="33"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19">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23:H23"/>
    <mergeCell ref="D14:H14"/>
    <mergeCell ref="B34:H34"/>
    <mergeCell ref="D26:H26"/>
  </mergeCells>
  <dataValidations count="1">
    <dataValidation sqref="C4" showDropDown="0" showInputMessage="0" showErrorMessage="0" allowBlank="0" type="list">
      <formula1>"Today,Optimized kernels"</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Microsoft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88</v>
      </c>
      <c r="C3" s="37"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33" t="n">
        <v>0.97</v>
      </c>
      <c r="C4" s="33" t="n">
        <v>0.97</v>
      </c>
      <c r="D4" s="3" t="inlineStr">
        <is>
          <t>FILING: P&amp;E note (FY25/FY26 10-K). Leasehold improvements, the only non-datacenter class, are $2.5B of $86.6B (FY25) and $4.2B of $133.1B (FY26) of gross additions -&gt; 97%.</t>
        </is>
      </c>
    </row>
    <row r="5">
      <c r="A5" t="inlineStr">
        <is>
          <t>Server / short-lived share</t>
        </is>
      </c>
      <c r="B5" s="33" t="n">
        <v>0.5</v>
      </c>
      <c r="C5" s="33" t="n">
        <v>0.67</v>
      </c>
      <c r="D5" s="3" t="inlineStr">
        <is>
          <t>CFO-disclosed (MSFT rose 50%-&gt;67%)</t>
        </is>
      </c>
    </row>
    <row r="6">
      <c r="A6" t="inlineStr">
        <is>
          <t>Accelerator share within servers</t>
        </is>
      </c>
      <c r="B6" s="33" t="n">
        <v>0.75</v>
      </c>
      <c r="C6" s="33" t="n">
        <v>0.75</v>
      </c>
      <c r="D6" s="3" t="inlineStr">
        <is>
          <t>from BOM teardowns (~67-80%)</t>
        </is>
      </c>
    </row>
    <row r="7">
      <c r="A7" t="inlineStr">
        <is>
          <t>Market cap ($B, approx)</t>
        </is>
      </c>
      <c r="B7" s="38" t="n">
        <v>3700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30</v>
      </c>
      <c r="C32" s="37" t="n">
        <v>50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&gt;$88B incl leases; server life 2-6yr (FY25 10-K)</t>
        </is>
      </c>
      <c r="B41" s="45" t="inlineStr">
        <is>
          <t>https://www.sec.gov/Archives/edgar/data/789019/000095017025100235/msft-20250630.htm</t>
        </is>
      </c>
    </row>
    <row r="42">
      <c r="A42" s="3" t="inlineStr">
        <is>
          <t>FY26 ~$190B guide; 'two-thirds' short-lived = GPUs+CPUs (Q3 FY26 call)</t>
        </is>
      </c>
      <c r="B42" s="45" t="inlineStr">
        <is>
          <t>https://www.fool.com/earnings/call-transcripts/2026/04/29/microsoft-msft-q3-2026-earnings-transcript/</t>
        </is>
      </c>
    </row>
    <row r="43">
      <c r="A43" s="3" t="inlineStr">
        <is>
          <t>AI revenue $37B annual run-rate (Q3 FY26)</t>
        </is>
      </c>
      <c r="B43" s="45" t="inlineStr">
        <is>
          <t>https://news.alphastreet.com/microsoft-msft-q3-fy2026-azure-hits-40-growth-as-ai-business-reaches-37-billion-run-rate/</t>
        </is>
      </c>
    </row>
    <row r="44">
      <c r="A44" s="3" t="inlineStr">
        <is>
          <t>~485k Hopper GPUs / ~$31B in 2024 (Omdia) - cross-checks accel capex</t>
        </is>
      </c>
      <c r="B44" s="4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Alphabet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91.40000000000001</v>
      </c>
      <c r="C3" s="37" t="n">
        <v>185</v>
      </c>
      <c r="D3" s="3" t="inlineStr">
        <is>
          <t>FY25 capex $91.4B [DISCLOSED]; FY26 $180-190B guide. 60% servers / 40% DC (CFO). Accel ~67% [BOM]. AI rev ESTIMATE (Cloud $70B run-rate, AI subset).</t>
        </is>
      </c>
    </row>
    <row r="4">
      <c r="A4" t="inlineStr">
        <is>
          <t>Infra / data-center share</t>
        </is>
      </c>
      <c r="B4" s="33" t="n">
        <v>0.93</v>
      </c>
      <c r="C4" s="33" t="n">
        <v>0.95</v>
      </c>
      <c r="D4" s="3" t="inlineStr">
        <is>
          <t>FILING: P&amp;E note. Technical infrastructure +$61.8B vs office space +$2.9B and corporate +$1.9B in 2025 (10-K) -&gt; 93%; +$43.5B vs +$2.3B office in H1 2026 (10-Q) -&gt; 95%.</t>
        </is>
      </c>
    </row>
    <row r="5">
      <c r="A5" t="inlineStr">
        <is>
          <t>Server / short-lived share</t>
        </is>
      </c>
      <c r="B5" s="33" t="n">
        <v>0.6</v>
      </c>
      <c r="C5" s="33" t="n">
        <v>0.6</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4250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25</v>
      </c>
      <c r="C32" s="37" t="n">
        <v>40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$91.4B; CFO 60% servers / 40% DC+net (Q4'25 call)</t>
        </is>
      </c>
      <c r="B41" s="45" t="inlineStr">
        <is>
          <t>https://www.fool.com/earnings/call-transcripts/2026/02/04/alphabet-googl-q4-2025-earnings-call-transcript/</t>
        </is>
      </c>
    </row>
    <row r="42">
      <c r="A42" s="3" t="inlineStr">
        <is>
          <t>FY26 guide $180-190B (Q1'26)</t>
        </is>
      </c>
      <c r="B42" s="45" t="inlineStr">
        <is>
          <t>https://www.cnbc.com/2026/04/29/alphabet-googl-q1-2026-earnings.html</t>
        </is>
      </c>
    </row>
    <row r="43">
      <c r="A43" s="3" t="inlineStr">
        <is>
          <t>Server life 6yr; TPU at-cost TCO 20-50% below NVIDIA (SemiAnalysis)</t>
        </is>
      </c>
      <c r="B43" s="4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Amazon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128.3</v>
      </c>
      <c r="C3" s="37" t="n">
        <v>220</v>
      </c>
      <c r="D3" s="3" t="inlineStr">
        <is>
          <t>FY25 cash capex $128.3B [DISCLOSED]; FY26 raised to ~$220B (Q2'26, 2026-07-30). AWS ~68-70% -&gt; strips fulfillment. Accel ~67% [BOM]. AI rev &gt;$15B AWS run-rate (Q1 FY26, Jassy).</t>
        </is>
      </c>
    </row>
    <row r="4">
      <c r="A4" t="inlineStr">
        <is>
          <t>Infra / data-center share</t>
        </is>
      </c>
      <c r="B4" s="33" t="n">
        <v>0.68</v>
      </c>
      <c r="C4" s="33" t="n">
        <v>0.76</v>
      </c>
      <c r="D4" s="3" t="inlineStr">
        <is>
          <t>FILING: segment note, AWS share of net P&amp;E additions. $96.5B of $142.4B in 2025 (10-K) -&gt; 68%; $90.1B of $118.6B in H1 2026 (10-Q) -&gt; 76%. Strips fulfillment/logistics.</t>
        </is>
      </c>
    </row>
    <row r="5">
      <c r="A5" t="inlineStr">
        <is>
          <t>Server / short-lived share</t>
        </is>
      </c>
      <c r="B5" s="33" t="n">
        <v>0.65</v>
      </c>
      <c r="C5" s="33" t="n">
        <v>0.65</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2830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12</v>
      </c>
      <c r="C32" s="37" t="n">
        <v>22</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cash capex $128.3B; AWS 67.8% of net P&amp;E adds; server life 6-&gt;5yr (FY25 10-K)</t>
        </is>
      </c>
      <c r="B41" s="45" t="inlineStr">
        <is>
          <t>https://www.sec.gov/Archives/edgar/data/1018724/000101872426000004/amzn-20251231.htm</t>
        </is>
      </c>
    </row>
    <row r="42">
      <c r="A42" s="3" t="inlineStr">
        <is>
          <t>~$200B 2026 capex, 'predominantly AWS' (Q4'25 call)</t>
        </is>
      </c>
      <c r="B42" s="45" t="inlineStr">
        <is>
          <t>https://www.fool.com/earnings/call-transcripts/2026/02/05/amazon-amzn-q4-2025-earnings-call-transcript/</t>
        </is>
      </c>
    </row>
    <row r="43">
      <c r="A43" s="3" t="inlineStr">
        <is>
          <t>AWS AI revenue &gt;$15B annual run-rate (Q1'26, Jassy)</t>
        </is>
      </c>
      <c r="B43" s="4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Meta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72.2</v>
      </c>
      <c r="C3" s="37" t="n">
        <v>137.5</v>
      </c>
      <c r="D3" s="3" t="inlineStr">
        <is>
          <t>FY25 capex incl leases $72.2B [DISCLOSED]; FY26 $130-145B guide (mid 137.5). Accel ~74% [BOM]. AI rev DIRECT est ~$4B -- Meta's real AI payoff is INDIRECT ad-uplift (~$20B), not counted.</t>
        </is>
      </c>
    </row>
    <row r="4">
      <c r="A4" t="inlineStr">
        <is>
          <t>Infra / data-center share</t>
        </is>
      </c>
      <c r="B4" s="33" t="n">
        <v>0.95</v>
      </c>
      <c r="C4" s="33" t="n">
        <v>0.98</v>
      </c>
      <c r="D4" s="3" t="inlineStr">
        <is>
          <t>FILING: Note 6 P&amp;E. Leasehold improvements + equipment and other are $3.3B of $69.1B gross additions in 2025 (10-K) -&gt; 95%; $0.95B of $59.1B in H1 2026 (10-Q) -&gt; 98%.</t>
        </is>
      </c>
    </row>
    <row r="5">
      <c r="A5" t="inlineStr">
        <is>
          <t>Server / short-lived share</t>
        </is>
      </c>
      <c r="B5" s="33" t="n">
        <v>0.65</v>
      </c>
      <c r="C5" s="33" t="n">
        <v>0.65</v>
      </c>
      <c r="D5" s="3" t="inlineStr">
        <is>
          <t>CFO-disclosed (MSFT rose 50%-&gt;67%)</t>
        </is>
      </c>
    </row>
    <row r="6">
      <c r="A6" t="inlineStr">
        <is>
          <t>Accelerator share within servers</t>
        </is>
      </c>
      <c r="B6" s="33" t="n">
        <v>0.74</v>
      </c>
      <c r="C6" s="33" t="n">
        <v>0.74</v>
      </c>
      <c r="D6" s="3" t="inlineStr">
        <is>
          <t>from BOM teardowns (~67-80%)</t>
        </is>
      </c>
    </row>
    <row r="7">
      <c r="A7" t="inlineStr">
        <is>
          <t>Market cap ($B, approx)</t>
        </is>
      </c>
      <c r="B7" s="38" t="n">
        <v>1490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4</v>
      </c>
      <c r="C32" s="37" t="n">
        <v>8</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$72.2B incl finance leases (Q4/FY25 release)</t>
        </is>
      </c>
      <c r="B41" s="45" t="inlineStr">
        <is>
          <t>https://investor.atmeta.com/investor-news/press-release-details/2026/Meta-Reports-Fourth-Quarter-and-Full-Year-2025-Results/default.aspx</t>
        </is>
      </c>
    </row>
    <row r="42">
      <c r="A42" s="3" t="inlineStr">
        <is>
          <t>FY26 $125-145B guide; raise driven by HBM pricing (Q1'26 call)</t>
        </is>
      </c>
      <c r="B42" s="45" t="inlineStr">
        <is>
          <t>https://www.fool.com/earnings/call-transcripts/2026/04/29/meta-meta-q1-2026-earnings-call-transcript/</t>
        </is>
      </c>
    </row>
    <row r="43">
      <c r="A43" s="3" t="inlineStr">
        <is>
          <t>&gt;1.3M GPUs by end-2025 (Zuckerberg) - cross-checks accel capex</t>
        </is>
      </c>
      <c r="B43" s="45" t="inlineStr">
        <is>
          <t>https://techcrunch.com/2025/01/24/mark-zuckerberg-says-meta-will-have-1-3m-gpus-for-ai-by-year-end/</t>
        </is>
      </c>
    </row>
    <row r="44">
      <c r="A44" s="3" t="inlineStr">
        <is>
          <t>Server life 5.5yr (-$2.9B depreciation)</t>
        </is>
      </c>
      <c r="B44" s="45" t="inlineStr">
        <is>
          <t>https://www.thestack.technology/meta-extends-server-life-again-saving-it-2-9-billion/</t>
        </is>
      </c>
    </row>
    <row r="45">
      <c r="A45" s="3" t="inlineStr">
        <is>
          <t>~25% of capex to NVIDIA (Bloomberg) - accel-share basis</t>
        </is>
      </c>
      <c r="B45" s="4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Oracle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21.2</v>
      </c>
      <c r="C3" s="37"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33" t="n">
        <v>0.85</v>
      </c>
      <c r="C4" s="33" t="n">
        <v>0.9</v>
      </c>
      <c r="D4" s="3" t="inlineStr">
        <is>
          <t>ESTIMATE: the P&amp;E note has no office line (buildings mix datacenters with the Nashville HQ build); capex growth is 'primarily due to the expansion of our data centers' (FY26 10-K).</t>
        </is>
      </c>
    </row>
    <row r="5">
      <c r="A5" t="inlineStr">
        <is>
          <t>Server / short-lived share</t>
        </is>
      </c>
      <c r="B5" s="33" t="n">
        <v>0.75</v>
      </c>
      <c r="C5" s="33" t="n">
        <v>0.75</v>
      </c>
      <c r="D5" s="3" t="inlineStr">
        <is>
          <t>CFO-disclosed (MSFT rose 50%-&gt;67%)</t>
        </is>
      </c>
    </row>
    <row r="6">
      <c r="A6" t="inlineStr">
        <is>
          <t>Accelerator share within servers</t>
        </is>
      </c>
      <c r="B6" s="33" t="n">
        <v>0.7</v>
      </c>
      <c r="C6" s="33" t="n">
        <v>0.7</v>
      </c>
      <c r="D6" s="3" t="inlineStr">
        <is>
          <t>from BOM teardowns (~67-80%)</t>
        </is>
      </c>
    </row>
    <row r="7">
      <c r="A7" t="inlineStr">
        <is>
          <t>Market cap ($B, approx)</t>
        </is>
      </c>
      <c r="B7" s="38" t="n">
        <v>433</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8</v>
      </c>
      <c r="C32" s="37" t="n">
        <v>15</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$21.2B; FY26 ~$50B guide on $67B rev (CIO Dive)</t>
        </is>
      </c>
      <c r="B41" s="45" t="inlineStr">
        <is>
          <t>https://www.ciodive.com/news/oracle-capex-spike-cloud-ai-data-center/807721/</t>
        </is>
      </c>
    </row>
    <row r="42">
      <c r="A42" s="3" t="inlineStr">
        <is>
          <t>OCI run-rate ~$27B exiting FY25; IaaS $3.0B Q4 +52%; RPO $138B (Q4 FY25)</t>
        </is>
      </c>
      <c r="B42" s="45" t="inlineStr">
        <is>
          <t>https://futurumgroup.com/insights/oracle-delivers-q4-fy-2025-results-with-27-cloud-growth-rpo-hits-138-billion/</t>
        </is>
      </c>
    </row>
    <row r="43">
      <c r="A43" s="3" t="inlineStr">
        <is>
          <t>FY26 OCI +77% to ~$18B; RPO $523B +433% on AI deals (Q2 FY26)</t>
        </is>
      </c>
      <c r="B43" s="4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SpaceX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12.7</v>
      </c>
      <c r="C3" s="37"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33" t="n">
        <v>1</v>
      </c>
      <c r="C4" s="33" t="n">
        <v>1</v>
      </c>
      <c r="D4" s="3" t="inlineStr">
        <is>
          <t>FILING: capex is the AI segment's own figure (S-1; Q2 2026 10-Q segment note, $23.6B in H1 2026).</t>
        </is>
      </c>
    </row>
    <row r="5">
      <c r="A5" t="inlineStr">
        <is>
          <t>Server / short-lived share</t>
        </is>
      </c>
      <c r="B5" s="33" t="n">
        <v>0.79</v>
      </c>
      <c r="C5" s="33" t="n">
        <v>0.79</v>
      </c>
      <c r="D5" s="3" t="inlineStr">
        <is>
          <t>CFO-disclosed (MSFT rose 50%-&gt;67%)</t>
        </is>
      </c>
    </row>
    <row r="6">
      <c r="A6" t="inlineStr">
        <is>
          <t>Accelerator share within servers</t>
        </is>
      </c>
      <c r="B6" s="33" t="n">
        <v>1</v>
      </c>
      <c r="C6" s="33" t="n">
        <v>1</v>
      </c>
      <c r="D6" s="3" t="inlineStr">
        <is>
          <t>from BOM teardowns (~67-80%)</t>
        </is>
      </c>
    </row>
    <row r="7">
      <c r="A7" t="inlineStr">
        <is>
          <t>Market cap ($B, approx)</t>
        </is>
      </c>
      <c r="B7" s="38" t="n">
        <v>1950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0.3</v>
      </c>
      <c r="C32" s="37" t="n">
        <v>1</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S-1 registration statement (SEC EDGAR)</t>
        </is>
      </c>
      <c r="B41" s="45" t="inlineStr">
        <is>
          <t>https://www.sec.gov/Archives/edgar/data/1181412/000162828026036936/spaceexplorationtechnologi.htm</t>
        </is>
      </c>
    </row>
    <row r="42">
      <c r="A42" s="3" t="inlineStr">
        <is>
          <t>S-1 financials &amp; AI breakdown (Hargreaves Lansdown)</t>
        </is>
      </c>
      <c r="B42" s="45" t="inlineStr">
        <is>
          <t>https://www.hl.co.uk/news/inside-spacexs-ipo-filing-revenue-starlink-ai-and-key-financials</t>
        </is>
      </c>
    </row>
    <row r="43">
      <c r="A43" s="3" t="inlineStr">
        <is>
          <t>$12.7B AI capex = ~60% of capex; COLOSSUS buildout (Investing.com)</t>
        </is>
      </c>
      <c r="B43" s="45" t="inlineStr">
        <is>
          <t>https://www.investing.com/analysis/spacex-is-quietly-becoming-an-ai-compute-and-orbital-infrastructure-company-200681776</t>
        </is>
      </c>
    </row>
    <row r="44">
      <c r="A44" s="3" t="inlineStr">
        <is>
          <t>AI1 orbital data centers; Anthropic as compute customer (DCD)</t>
        </is>
      </c>
      <c r="B44" s="4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34" t="inlineStr">
        <is>
          <t>6-COMPANY AI ECONOMICS — current AI cash burn &amp; the effect of our architecture</t>
        </is>
      </c>
      <c r="B1" s="35" t="n"/>
      <c r="C1" s="35" t="n"/>
      <c r="D1" s="35" t="n"/>
      <c r="E1" s="35" t="n"/>
      <c r="F1" s="35" t="n"/>
      <c r="G1" s="35" t="n"/>
      <c r="H1" s="35"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34" t="inlineStr">
        <is>
          <t>NET AI ECONOMICS — FY2025 (cash basis: AI revenue - AI capex - AI opex)</t>
        </is>
      </c>
      <c r="B4" s="35" t="n"/>
      <c r="C4" s="35" t="n"/>
      <c r="D4" s="35" t="n"/>
      <c r="E4" s="35" t="n"/>
      <c r="F4" s="35" t="n"/>
      <c r="G4" s="35" t="n"/>
      <c r="H4" s="35"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39">
        <f>Microsoft!$B$32</f>
        <v/>
      </c>
      <c r="C6" s="39">
        <f>Microsoft!$B$33</f>
        <v/>
      </c>
      <c r="D6" s="39">
        <f>Microsoft!$B$34</f>
        <v/>
      </c>
      <c r="E6" s="40">
        <f>Microsoft!$B$35</f>
        <v/>
      </c>
      <c r="F6" s="39">
        <f>Microsoft!$B$36</f>
        <v/>
      </c>
      <c r="G6" s="40">
        <f>Microsoft!$B$37</f>
        <v/>
      </c>
      <c r="H6" s="14">
        <f>Microsoft!$B$38</f>
        <v/>
      </c>
    </row>
    <row r="7">
      <c r="A7" t="inlineStr">
        <is>
          <t>Alphabet</t>
        </is>
      </c>
      <c r="B7" s="39">
        <f>Alphabet!$B$32</f>
        <v/>
      </c>
      <c r="C7" s="39">
        <f>Alphabet!$B$33</f>
        <v/>
      </c>
      <c r="D7" s="39">
        <f>Alphabet!$B$34</f>
        <v/>
      </c>
      <c r="E7" s="40">
        <f>Alphabet!$B$35</f>
        <v/>
      </c>
      <c r="F7" s="39">
        <f>Alphabet!$B$36</f>
        <v/>
      </c>
      <c r="G7" s="40">
        <f>Alphabet!$B$37</f>
        <v/>
      </c>
      <c r="H7" s="14">
        <f>Alphabet!$B$38</f>
        <v/>
      </c>
    </row>
    <row r="8">
      <c r="A8" t="inlineStr">
        <is>
          <t>Amazon</t>
        </is>
      </c>
      <c r="B8" s="39">
        <f>Amazon!$B$32</f>
        <v/>
      </c>
      <c r="C8" s="39">
        <f>Amazon!$B$33</f>
        <v/>
      </c>
      <c r="D8" s="39">
        <f>Amazon!$B$34</f>
        <v/>
      </c>
      <c r="E8" s="40">
        <f>Amazon!$B$35</f>
        <v/>
      </c>
      <c r="F8" s="39">
        <f>Amazon!$B$36</f>
        <v/>
      </c>
      <c r="G8" s="40">
        <f>Amazon!$B$37</f>
        <v/>
      </c>
      <c r="H8" s="14">
        <f>Amazon!$B$38</f>
        <v/>
      </c>
    </row>
    <row r="9">
      <c r="A9" t="inlineStr">
        <is>
          <t>Meta</t>
        </is>
      </c>
      <c r="B9" s="39">
        <f>Meta!$B$32</f>
        <v/>
      </c>
      <c r="C9" s="39">
        <f>Meta!$B$33</f>
        <v/>
      </c>
      <c r="D9" s="39">
        <f>Meta!$B$34</f>
        <v/>
      </c>
      <c r="E9" s="40">
        <f>Meta!$B$35</f>
        <v/>
      </c>
      <c r="F9" s="39">
        <f>Meta!$B$36</f>
        <v/>
      </c>
      <c r="G9" s="40">
        <f>Meta!$B$37</f>
        <v/>
      </c>
      <c r="H9" s="14">
        <f>Meta!$B$38</f>
        <v/>
      </c>
    </row>
    <row r="10">
      <c r="A10" t="inlineStr">
        <is>
          <t>Oracle</t>
        </is>
      </c>
      <c r="B10" s="39">
        <f>Oracle!$B$32</f>
        <v/>
      </c>
      <c r="C10" s="39">
        <f>Oracle!$B$33</f>
        <v/>
      </c>
      <c r="D10" s="39">
        <f>Oracle!$B$34</f>
        <v/>
      </c>
      <c r="E10" s="40">
        <f>Oracle!$B$35</f>
        <v/>
      </c>
      <c r="F10" s="39">
        <f>Oracle!$B$36</f>
        <v/>
      </c>
      <c r="G10" s="40">
        <f>Oracle!$B$37</f>
        <v/>
      </c>
      <c r="H10" s="14">
        <f>Oracle!$B$38</f>
        <v/>
      </c>
    </row>
    <row r="11">
      <c r="A11" t="inlineStr">
        <is>
          <t>SpaceX</t>
        </is>
      </c>
      <c r="B11" s="39">
        <f>SpaceX!$B$32</f>
        <v/>
      </c>
      <c r="C11" s="39">
        <f>SpaceX!$B$33</f>
        <v/>
      </c>
      <c r="D11" s="39">
        <f>SpaceX!$B$34</f>
        <v/>
      </c>
      <c r="E11" s="40">
        <f>SpaceX!$B$35</f>
        <v/>
      </c>
      <c r="F11" s="39">
        <f>SpaceX!$B$36</f>
        <v/>
      </c>
      <c r="G11" s="40">
        <f>SpaceX!$B$37</f>
        <v/>
      </c>
      <c r="H11" s="14">
        <f>SpaceX!$B$38</f>
        <v/>
      </c>
    </row>
    <row r="12">
      <c r="A12" s="7" t="inlineStr">
        <is>
          <t>TOTAL (6)</t>
        </is>
      </c>
      <c r="B12" s="46">
        <f>SUM(B6:B11)</f>
        <v/>
      </c>
      <c r="C12" s="46">
        <f>SUM(C6:C11)</f>
        <v/>
      </c>
      <c r="D12" s="46">
        <f>SUM(D6:D11)</f>
        <v/>
      </c>
      <c r="E12" s="46">
        <f>SUM(E6:E11)</f>
        <v/>
      </c>
      <c r="F12" s="46">
        <f>SUM(F6:F11)</f>
        <v/>
      </c>
      <c r="G12" s="46">
        <f>SUM(G6:G11)</f>
        <v/>
      </c>
      <c r="H12" s="47">
        <f>F12/(C12+D12)</f>
        <v/>
      </c>
    </row>
    <row r="13">
      <c r="A13" s="7" t="inlineStr">
        <is>
          <t>FY2026 (estimate)</t>
        </is>
      </c>
      <c r="E13" s="48">
        <f>SUM(Microsoft!$C$35,Alphabet!$C$35,Amazon!$C$35,Meta!$C$35,Oracle!$C$35,SpaceX!$C$35)</f>
        <v/>
      </c>
      <c r="F13" s="48">
        <f>SUM(Microsoft!$C$36,Alphabet!$C$36,Amazon!$C$36,Meta!$C$36,Oracle!$C$36,SpaceX!$C$36)</f>
        <v/>
      </c>
      <c r="G13" s="48">
        <f>SUM(Microsoft!$C$37,Alphabet!$C$37,Amazon!$C$37,Meta!$C$37,Oracle!$C$37,SpaceX!$C$37)</f>
        <v/>
      </c>
      <c r="H13" s="49">
        <f>SUM(Microsoft!$C$36,Alphabet!$C$36,Amazon!$C$36,Meta!$C$36,Oracle!$C$36,SpaceX!$C$36)/(SUM(Microsoft!$C$33,Alphabet!$C$33,Amazon!$C$33,Meta!$C$33,Oracle!$C$33,SpaceX!$C$33)+SUM(Microsoft!$C$34,Alphabet!$C$34,Amazon!$C$34,Meta!$C$34,Oracle!$C$34,SpaceX!$C$34))</f>
        <v/>
      </c>
    </row>
    <row r="14">
      <c r="A14" s="7" t="inlineStr">
        <is>
          <t>FY2027 (STREET-EST prediction, static)</t>
        </is>
      </c>
      <c r="E14" s="48" t="n">
        <v>-960.45442678288</v>
      </c>
      <c r="F14" s="48" t="n">
        <v>569.1669985864507</v>
      </c>
      <c r="G14" s="48" t="n">
        <v>-391.2874281964292</v>
      </c>
      <c r="H14" s="49" t="n">
        <v>0.4889942299198121</v>
      </c>
    </row>
    <row r="16">
      <c r="A16" s="34" t="inlineStr">
        <is>
          <t>SAVINGS BREAKDOWN — the spend cut, split</t>
        </is>
      </c>
      <c r="B16" s="35" t="n"/>
      <c r="C16" s="35" t="n"/>
      <c r="D16" s="35" t="n"/>
      <c r="E16" s="35" t="n"/>
      <c r="F16" s="35" t="n"/>
      <c r="G16" s="35" t="n"/>
      <c r="H16" s="35" t="n"/>
    </row>
    <row r="17">
      <c r="A17" t="inlineStr">
        <is>
          <t>Cost-weighted reduction (Amdahl)</t>
        </is>
      </c>
      <c r="B17" s="50">
        <f>Inputs!$B$20</f>
        <v/>
      </c>
      <c r="C17" t="inlineStr">
        <is>
          <t>x</t>
        </is>
      </c>
    </row>
    <row r="19">
      <c r="B19" s="7" t="inlineStr">
        <is>
          <t>Saved OPEX</t>
        </is>
      </c>
      <c r="C19" s="20" t="inlineStr">
        <is>
          <t>Avoided CAPEX (Overspend)</t>
        </is>
      </c>
      <c r="D19" s="7" t="inlineStr">
        <is>
          <t>Total</t>
        </is>
      </c>
    </row>
    <row r="20">
      <c r="A20" t="inlineStr">
        <is>
          <t>FY2025 annual ($B/yr)</t>
        </is>
      </c>
      <c r="B20" s="39">
        <f>SUM(Microsoft!B26,Alphabet!B26,Amazon!B26,Meta!B26,Oracle!B26,SpaceX!B26)/1000</f>
        <v/>
      </c>
      <c r="C20" s="39">
        <f>SUM(Microsoft!B25,Alphabet!B25,Amazon!B25,Meta!B25,Oracle!B25,SpaceX!B25)</f>
        <v/>
      </c>
      <c r="D20" s="39">
        <f>B20+C20</f>
        <v/>
      </c>
    </row>
    <row r="21">
      <c r="A21" s="7" t="inlineStr">
        <is>
          <t>FY2025 capitalized ($B)</t>
        </is>
      </c>
      <c r="B21" s="44">
        <f>B20/Inputs!$B$6</f>
        <v/>
      </c>
      <c r="C21" s="44">
        <f>C20/Inputs!$B$6</f>
        <v/>
      </c>
      <c r="D21" s="44">
        <f>B21+C21</f>
        <v/>
      </c>
    </row>
    <row r="22">
      <c r="A22" t="inlineStr">
        <is>
          <t>FY2026 annual ($B/yr)</t>
        </is>
      </c>
      <c r="B22" s="39">
        <f>SUM(Microsoft!C26,Alphabet!C26,Amazon!C26,Meta!C26,Oracle!C26,SpaceX!C26)/1000</f>
        <v/>
      </c>
      <c r="C22" s="39">
        <f>SUM(Microsoft!C25,Alphabet!C25,Amazon!C25,Meta!C25,Oracle!C25,SpaceX!C25)</f>
        <v/>
      </c>
      <c r="D22" s="39">
        <f>B22+C22</f>
        <v/>
      </c>
    </row>
    <row r="23">
      <c r="A23" s="7" t="inlineStr">
        <is>
          <t>FY2026 capitalized ($B)</t>
        </is>
      </c>
      <c r="B23" s="44">
        <f>B22/Inputs!$B$6</f>
        <v/>
      </c>
      <c r="C23" s="44">
        <f>C22/Inputs!$B$6</f>
        <v/>
      </c>
      <c r="D23" s="44">
        <f>B23+C23</f>
        <v/>
      </c>
    </row>
    <row r="24">
      <c r="A24" s="7" t="inlineStr">
        <is>
          <t>GLOBAL capitalized -- est. ($B)</t>
        </is>
      </c>
      <c r="B24" s="44">
        <f>D21/Inputs!$B$14</f>
        <v/>
      </c>
      <c r="C24" s="44">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34" t="inlineStr">
        <is>
          <t>TABS</t>
        </is>
      </c>
      <c r="B28" s="35" t="n"/>
      <c r="C28" s="35" t="n"/>
      <c r="D28" s="35" t="n"/>
      <c r="E28" s="35" t="n"/>
      <c r="F28" s="35" t="n"/>
      <c r="G28" s="35" t="n"/>
      <c r="H28" s="35"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across the Today / Ceiling / live cost-weighted tiers + context sensitivity</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34" t="inlineStr">
        <is>
          <t>GLOBAL INPUTS  —  edit yellow (assumption) cells; green = disclosed/market data</t>
        </is>
      </c>
      <c r="B1" s="35" t="n"/>
      <c r="C1" s="35" t="n"/>
      <c r="D1" s="35" t="n"/>
    </row>
    <row r="2">
      <c r="A2" t="inlineStr">
        <is>
          <t>Memory reduction factor</t>
        </is>
      </c>
      <c r="B2" s="51" t="n">
        <v>100</v>
      </c>
      <c r="C2" t="inlineStr">
        <is>
          <t>x</t>
        </is>
      </c>
      <c r="D2" s="3" t="inlineStr">
        <is>
          <t>1e-2 memory = 100x less (O(1) internal state vs transformer O(T) KV cache).</t>
        </is>
      </c>
    </row>
    <row r="3">
      <c r="A3" t="inlineStr">
        <is>
          <t>FLOPs reduction factor</t>
        </is>
      </c>
      <c r="B3" s="51">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52" t="n">
        <v>0.6</v>
      </c>
      <c r="C4" t="inlineStr">
        <is>
          <t>frac</t>
        </is>
      </c>
      <c r="D4" s="3" t="inlineStr">
        <is>
          <t>HBM ~45% of B200 COGS + most CoWoS packaging -&gt; ~60% memory / ~40% compute. See Evidence.</t>
        </is>
      </c>
    </row>
    <row r="5">
      <c r="A5" t="inlineStr">
        <is>
          <t>Opex / energy reduction factor</t>
        </is>
      </c>
      <c r="B5" s="51">
        <f>B20</f>
        <v/>
      </c>
      <c r="C5" t="inlineStr">
        <is>
          <t>x</t>
        </is>
      </c>
      <c r="D5" s="3" t="inlineStr">
        <is>
          <t>DERIVED default = cost-weighted reduction (B20): energy splits memory/compute like cost. Overtype this cell to override.</t>
        </is>
      </c>
    </row>
    <row r="6">
      <c r="A6" t="inlineStr">
        <is>
          <t>Discount rate</t>
        </is>
      </c>
      <c r="B6" s="52" t="n">
        <v>0.06</v>
      </c>
      <c r="C6" t="inlineStr">
        <is>
          <t>frac</t>
        </is>
      </c>
      <c r="D6" s="3" t="inlineStr">
        <is>
          <t>Perpetuity capitalization: value = annual benefit / rate (=16.7x at 6%).</t>
        </is>
      </c>
    </row>
    <row r="7">
      <c r="A7" t="inlineStr">
        <is>
          <t>Fully-loaded cost per GPU</t>
        </is>
      </c>
      <c r="B7" s="53" t="n">
        <v>50000</v>
      </c>
      <c r="C7" t="inlineStr">
        <is>
          <t>$</t>
        </is>
      </c>
      <c r="D7" s="3" t="inlineStr">
        <is>
          <t>B200-class GPU + share of server, NVLink, networking.</t>
        </is>
      </c>
    </row>
    <row r="8">
      <c r="A8" t="inlineStr">
        <is>
          <t>Wall power per GPU</t>
        </is>
      </c>
      <c r="B8" s="51" t="n">
        <v>1.8</v>
      </c>
      <c r="C8" t="inlineStr">
        <is>
          <t>kW</t>
        </is>
      </c>
      <c r="D8" s="3" t="inlineStr">
        <is>
          <t>~1 kW TDP + node overhead x PUE 1.3.</t>
        </is>
      </c>
    </row>
    <row r="9">
      <c r="A9" t="inlineStr">
        <is>
          <t>Electricity rate</t>
        </is>
      </c>
      <c r="B9" s="51" t="n">
        <v>0.08</v>
      </c>
      <c r="C9" t="inlineStr">
        <is>
          <t>$/kWh</t>
        </is>
      </c>
      <c r="D9" s="3" t="inlineStr">
        <is>
          <t>Datacenter wholesale; raise to 0.10-0.12 for grid colo.</t>
        </is>
      </c>
    </row>
    <row r="10">
      <c r="A10" t="inlineStr">
        <is>
          <t>Cooling/ops overhead on energy</t>
        </is>
      </c>
      <c r="B10" s="52" t="n">
        <v>0.25</v>
      </c>
      <c r="C10" t="inlineStr">
        <is>
          <t>frac</t>
        </is>
      </c>
      <c r="D10" s="3" t="inlineStr">
        <is>
          <t>Non-power running cost as fraction of electricity.</t>
        </is>
      </c>
    </row>
    <row r="11">
      <c r="A11" t="inlineStr">
        <is>
          <t>Fleet useful life</t>
        </is>
      </c>
      <c r="B11" s="51" t="n">
        <v>4</v>
      </c>
      <c r="C11" t="inlineStr">
        <is>
          <t>yr</t>
        </is>
      </c>
      <c r="D11" s="3" t="inlineStr">
        <is>
          <t>AI-GPU depreciation life.</t>
        </is>
      </c>
    </row>
    <row r="12">
      <c r="A12" t="inlineStr">
        <is>
          <t>SpaceX market cap</t>
        </is>
      </c>
      <c r="B12" s="54" t="n">
        <v>1950</v>
      </c>
      <c r="C12" t="inlineStr">
        <is>
          <t>$B</t>
        </is>
      </c>
      <c r="D12" s="3" t="inlineStr">
        <is>
          <t>~$1.95T Aug 2026; IPO 2026-06-12 at ~$1.77T (market data; used by Sensitivity).</t>
        </is>
      </c>
    </row>
    <row r="13">
      <c r="A13" t="inlineStr">
        <is>
          <t>Datacenter scaling factor</t>
        </is>
      </c>
      <c r="B13" s="5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52" t="n">
        <v>0.8</v>
      </c>
      <c r="C14" t="inlineStr">
        <is>
          <t>frac</t>
        </is>
      </c>
      <c r="D14" s="3" t="inlineStr">
        <is>
          <t>GLOBAL estimate (Totals): named firms' share of worldwide AI capex; the rest (other clouds, China, neoclouds, xAI, sovereign) is grossed up pro-rata. ESTIMATE.</t>
        </is>
      </c>
    </row>
    <row r="15">
      <c r="A15" s="34" t="inlineStr">
        <is>
          <t>REDUCTION ENGINE (Amdahl cost-weighting) — derived</t>
        </is>
      </c>
      <c r="B15" s="35" t="n"/>
      <c r="C15" s="35" t="n"/>
      <c r="D15" s="35" t="n"/>
    </row>
    <row r="16">
      <c r="A16" t="inlineStr">
        <is>
          <t>Compute share of GPU cost</t>
        </is>
      </c>
      <c r="B16" s="25">
        <f>1-B4</f>
        <v/>
      </c>
      <c r="D16" s="3" t="inlineStr">
        <is>
          <t>1 - memory share</t>
        </is>
      </c>
    </row>
    <row r="17">
      <c r="A17" t="inlineStr">
        <is>
          <t>Memory cost fraction after reduction</t>
        </is>
      </c>
      <c r="B17" s="55">
        <f>B4/B2</f>
        <v/>
      </c>
      <c r="D17" s="3" t="inlineStr">
        <is>
          <t>memory share / memory reduction</t>
        </is>
      </c>
    </row>
    <row r="18">
      <c r="A18" t="inlineStr">
        <is>
          <t>Compute cost fraction after reduction</t>
        </is>
      </c>
      <c r="B18" s="55">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0">
        <f>1/B19</f>
        <v/>
      </c>
      <c r="C20" t="inlineStr">
        <is>
          <t>x</t>
        </is>
      </c>
      <c r="D20" s="3" t="inlineStr">
        <is>
          <t>1 / residual. The realistic $ reduction used everywhere.</t>
        </is>
      </c>
    </row>
    <row r="22">
      <c r="A22" s="34" t="inlineStr">
        <is>
          <t>SCENARIOS (2026-09-01 ruling) — TODAY (default) vs CEILING (campaign landed)</t>
        </is>
      </c>
      <c r="B22" s="35" t="n"/>
      <c r="C22" s="35" t="n"/>
      <c r="D22" s="35" t="n"/>
    </row>
    <row r="23">
      <c r="A23" t="inlineStr">
        <is>
          <t>Equal-quality parameter ratio at 1T</t>
        </is>
      </c>
      <c r="B23" s="56"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7" t="inlineStr">
        <is>
          <t>TODAY compute lever = serving lever x ratio</t>
        </is>
      </c>
      <c r="B24" s="57">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42">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34" t="inlineStr">
        <is>
          <t>SENSITIVITY (SpaceX) — TODAY vs CEILING vs live cost-weighted</t>
        </is>
      </c>
      <c r="B1" s="35" t="n"/>
      <c r="C1" s="35" t="n"/>
      <c r="D1" s="35" t="n"/>
      <c r="E1" s="35" t="n"/>
    </row>
    <row r="2">
      <c r="A2" s="7" t="inlineStr">
        <is>
          <t>Metric</t>
        </is>
      </c>
      <c r="B2" s="20" t="inlineStr">
        <is>
          <t>TODAY (~154x)</t>
        </is>
      </c>
      <c r="C2" s="20" t="inlineStr">
        <is>
          <t>CEILING (~154x)</t>
        </is>
      </c>
      <c r="D2" s="20" t="inlineStr">
        <is>
          <t>Cost-weighted (live)</t>
        </is>
      </c>
    </row>
    <row r="3">
      <c r="A3" t="inlineStr">
        <is>
          <t>Efficient acquisition ($B)</t>
        </is>
      </c>
      <c r="B3" s="42">
        <f>SpaceX!$B$12/(1/(Inputs!$B$4/Inputs!$B$2+(1-Inputs!$B$4)/Inputs!$B$24))</f>
        <v/>
      </c>
      <c r="C3" s="42">
        <f>SpaceX!$B$12/(1/(Inputs!$B$4/Inputs!$B$2+(1-Inputs!$B$4)/Inputs!$B$25))</f>
        <v/>
      </c>
      <c r="D3" s="42">
        <f>SpaceX!$B$12/(Inputs!$B$20)</f>
        <v/>
      </c>
    </row>
    <row r="4">
      <c r="A4" t="inlineStr">
        <is>
          <t>Capex avoided/yr ($B)</t>
        </is>
      </c>
      <c r="B4" s="42">
        <f>SpaceX!$B$12-SpaceX!$B$12/(1/(Inputs!$B$4/Inputs!$B$2+(1-Inputs!$B$4)/Inputs!$B$24))</f>
        <v/>
      </c>
      <c r="C4" s="42">
        <f>SpaceX!$B$12-SpaceX!$B$12/(1/(Inputs!$B$4/Inputs!$B$2+(1-Inputs!$B$4)/Inputs!$B$25))</f>
        <v/>
      </c>
      <c r="D4" s="42">
        <f>SpaceX!$B$12-SpaceX!$B$12/(Inputs!$B$20)</f>
        <v/>
      </c>
    </row>
    <row r="5">
      <c r="A5" t="inlineStr">
        <is>
          <t>Annual opex savings ($M)</t>
        </is>
      </c>
      <c r="B5" s="39">
        <f>SpaceX!$B$26</f>
        <v/>
      </c>
      <c r="C5" s="39">
        <f>SpaceX!$B$26</f>
        <v/>
      </c>
      <c r="D5" s="39">
        <f>SpaceX!$B$26</f>
        <v/>
      </c>
    </row>
    <row r="6">
      <c r="A6" t="inlineStr">
        <is>
          <t>Sustained annual benefit ($B)</t>
        </is>
      </c>
      <c r="B6" s="42">
        <f>(SpaceX!$B$12-SpaceX!$B$12/(1/(Inputs!$B$4/Inputs!$B$2+(1-Inputs!$B$4)/Inputs!$B$24)))+SpaceX!$B$26/1000</f>
        <v/>
      </c>
      <c r="C6" s="42">
        <f>(SpaceX!$B$12-SpaceX!$B$12/(1/(Inputs!$B$4/Inputs!$B$2+(1-Inputs!$B$4)/Inputs!$B$25)))+SpaceX!$B$26/1000</f>
        <v/>
      </c>
      <c r="D6" s="42">
        <f>(SpaceX!$B$12-SpaceX!$B$12/(Inputs!$B$20))+SpaceX!$B$26/1000</f>
        <v/>
      </c>
    </row>
    <row r="7">
      <c r="A7" t="inlineStr">
        <is>
          <t>Capitalized value ($B)</t>
        </is>
      </c>
      <c r="B7" s="41">
        <f>((SpaceX!$B$12-SpaceX!$B$12/(1/(Inputs!$B$4/Inputs!$B$2+(1-Inputs!$B$4)/Inputs!$B$24)))+SpaceX!$B$26/1000)/Inputs!$B$6</f>
        <v/>
      </c>
      <c r="C7" s="41">
        <f>((SpaceX!$B$12-SpaceX!$B$12/(1/(Inputs!$B$4/Inputs!$B$2+(1-Inputs!$B$4)/Inputs!$B$25)))+SpaceX!$B$26/1000)/Inputs!$B$6</f>
        <v/>
      </c>
      <c r="D7" s="41">
        <f>((SpaceX!$B$12-SpaceX!$B$12/(Inputs!$B$20))+SpaceX!$B$26/1000)/Inputs!$B$6</f>
        <v/>
      </c>
    </row>
    <row r="8">
      <c r="A8" t="inlineStr">
        <is>
          <t>% of market cap</t>
        </is>
      </c>
      <c r="B8" s="25">
        <f>(((SpaceX!$B$12-SpaceX!$B$12/(1/(Inputs!$B$4/Inputs!$B$2+(1-Inputs!$B$4)/Inputs!$B$24)))+SpaceX!$B$26/1000)/Inputs!$B$6)/Inputs!$B$12</f>
        <v/>
      </c>
      <c r="C8" s="25">
        <f>(((SpaceX!$B$12-SpaceX!$B$12/(1/(Inputs!$B$4/Inputs!$B$2+(1-Inputs!$B$4)/Inputs!$B$25)))+SpaceX!$B$26/1000)/Inputs!$B$6)/Inputs!$B$12</f>
        <v/>
      </c>
      <c r="D8" s="25">
        <f>(((SpaceX!$B$12-SpaceX!$B$12/(Inputs!$B$20))+SpaceX!$B$26/1000)/Inputs!$B$6)/Inputs!$B$12</f>
        <v/>
      </c>
    </row>
    <row r="10">
      <c r="A10" s="3" t="inlineStr">
        <is>
          <t>Base = SpaceX accelerator capex (SpaceX!B12), not total capex. The 'Cost-weighted' column ties to the SpaceX tab (B25/B27) at the conservative dc_scale=0.</t>
        </is>
      </c>
    </row>
    <row r="12">
      <c r="A12" s="34" t="inlineStr">
        <is>
          <t>CONTEXT SENSITIVITY — prefill share of serving cost vs fleet E[context]</t>
        </is>
      </c>
      <c r="B12" s="35" t="n"/>
      <c r="C12" s="35" t="n"/>
      <c r="D12" s="35" t="n"/>
      <c r="E12" s="35" t="n"/>
      <c r="F12" s="35" t="n"/>
    </row>
    <row r="13">
      <c r="A13" s="20" t="inlineStr">
        <is>
          <t>E[context]</t>
        </is>
      </c>
      <c r="B13" s="20" t="inlineStr">
        <is>
          <t>TF prefill share</t>
        </is>
      </c>
      <c r="C13" s="20" t="inlineStr">
        <is>
          <t>Our prefill share (Today)</t>
        </is>
      </c>
      <c r="D13" s="20" t="inlineStr">
        <is>
          <t>Today lever (x)</t>
        </is>
      </c>
      <c r="E13" s="20" t="inlineStr">
        <is>
          <t>Ceiling lever (x)</t>
        </is>
      </c>
      <c r="F13" s="20" t="inlineStr">
        <is>
          <t>Today-&gt;Ceiling gap</t>
        </is>
      </c>
    </row>
    <row r="14">
      <c r="A14" t="inlineStr">
        <is>
          <t>8k</t>
        </is>
      </c>
      <c r="B14" s="55" t="n">
        <v>0.005899250258734248</v>
      </c>
      <c r="C14" s="25" t="n">
        <v>0.05208995366081766</v>
      </c>
      <c r="D14" s="41" t="n">
        <v>50.29665229131971</v>
      </c>
      <c r="E14" s="41" t="n">
        <v>51.47706163855121</v>
      </c>
      <c r="F14" s="25" t="n">
        <v>0.02346894462069837</v>
      </c>
    </row>
    <row r="15">
      <c r="A15" t="inlineStr">
        <is>
          <t>32k</t>
        </is>
      </c>
      <c r="B15" s="55" t="n">
        <v>0.002981160980333002</v>
      </c>
      <c r="C15" s="25" t="n">
        <v>0.05196631516233694</v>
      </c>
      <c r="D15" s="41" t="n">
        <v>200.6239377794075</v>
      </c>
      <c r="E15" s="41" t="n">
        <v>205.3209324850361</v>
      </c>
      <c r="F15" s="25" t="n">
        <v>0.02341193557267873</v>
      </c>
    </row>
    <row r="16">
      <c r="A16" s="7" t="inlineStr">
        <is>
          <t>128k (pinned)</t>
        </is>
      </c>
      <c r="B16" s="55" t="n">
        <v>0.002359266800993781</v>
      </c>
      <c r="C16" s="25" t="n">
        <v>0.06235575593664416</v>
      </c>
      <c r="D16" s="41" t="n">
        <v>793.2064858179596</v>
      </c>
      <c r="E16" s="41" t="n">
        <v>815.5945097216911</v>
      </c>
      <c r="F16" s="25" t="n">
        <v>0.0282247110985796</v>
      </c>
    </row>
    <row r="17">
      <c r="A17" t="inlineStr">
        <is>
          <t>256k</t>
        </is>
      </c>
      <c r="B17" s="55" t="n">
        <v>0.00230050437708008</v>
      </c>
      <c r="C17" s="25" t="n">
        <v>0.08221381175542121</v>
      </c>
      <c r="D17" s="41" t="n">
        <v>1552.723400990788</v>
      </c>
      <c r="E17" s="41" t="n">
        <v>1611.029390134314</v>
      </c>
      <c r="F17" s="25"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the the model — rebuild the workbook to refresh.</t>
        </is>
      </c>
    </row>
  </sheetData>
  <mergeCells count="2">
    <mergeCell ref="A19:F19"/>
    <mergeCell ref="A10:E10"/>
  </mergeCells>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34" t="inlineStr">
        <is>
          <t>COST LADDER — $/H100-equivalent GPU-hour (at scale). Green = market price; yellow = assumption.</t>
        </is>
      </c>
      <c r="B1" s="35" t="n"/>
      <c r="C1" s="35" t="n"/>
      <c r="D1" s="35" t="n"/>
    </row>
    <row r="2">
      <c r="A2" s="7" t="inlineStr">
        <is>
          <t>Procurement mode</t>
        </is>
      </c>
      <c r="B2" s="7" t="inlineStr">
        <is>
          <t>$/hr low</t>
        </is>
      </c>
      <c r="C2" s="7" t="inlineStr">
        <is>
          <t>$/hr high</t>
        </is>
      </c>
      <c r="D2" s="7" t="inlineStr">
        <is>
          <t>What's baked into the price</t>
        </is>
      </c>
    </row>
    <row r="3">
      <c r="A3" t="inlineStr">
        <is>
          <t>Own custom silicon (TPU/Trainium)</t>
        </is>
      </c>
      <c r="B3" s="58" t="n">
        <v>0.9</v>
      </c>
      <c r="C3" s="58" t="n">
        <v>1.4</v>
      </c>
      <c r="D3" s="3" t="inlineStr">
        <is>
          <t>COGS + modest Broadcom/Marvell margin + power + DC. NO NVIDIA margin.</t>
        </is>
      </c>
    </row>
    <row r="4">
      <c r="A4" t="inlineStr">
        <is>
          <t>Buy + operate NVIDIA (scale)</t>
        </is>
      </c>
      <c r="B4" s="58" t="n">
        <v>1.5</v>
      </c>
      <c r="C4" s="58" t="n">
        <v>2</v>
      </c>
      <c r="D4" s="3" t="inlineStr">
        <is>
          <t>NVIDIA ~84% gross margin baked into capex + power + DC.</t>
        </is>
      </c>
    </row>
    <row r="5">
      <c r="A5" t="inlineStr">
        <is>
          <t>Rent NVIDIA - neocloud / committed</t>
        </is>
      </c>
      <c r="B5" s="58" t="n">
        <v>2</v>
      </c>
      <c r="C5" s="58" t="n">
        <v>3.5</v>
      </c>
      <c r="D5" s="3" t="inlineStr">
        <is>
          <t>+ cloud provider capex recovery &amp; margin.</t>
        </is>
      </c>
    </row>
    <row r="6">
      <c r="A6" t="inlineStr">
        <is>
          <t>Rent NVIDIA - hyperscaler on-demand</t>
        </is>
      </c>
      <c r="B6" s="58" t="n">
        <v>3</v>
      </c>
      <c r="C6" s="58" t="n">
        <v>7</v>
      </c>
      <c r="D6" s="3" t="inlineStr">
        <is>
          <t>+ utilization risk + flexibility premium (new B200 to ~$14).</t>
        </is>
      </c>
    </row>
    <row r="8">
      <c r="A8" s="34" t="inlineStr">
        <is>
          <t>OWNED-NVIDIA TCO CROSS-CHECK (from Inputs)</t>
        </is>
      </c>
      <c r="B8" s="35" t="n"/>
      <c r="C8" s="35" t="n"/>
      <c r="D8" s="35" t="n"/>
    </row>
    <row r="9">
      <c r="A9" t="inlineStr">
        <is>
          <t>Utilization</t>
        </is>
      </c>
      <c r="B9" s="33" t="n">
        <v>0.85</v>
      </c>
    </row>
    <row r="10">
      <c r="A10" t="inlineStr">
        <is>
          <t>Capex $/hr</t>
        </is>
      </c>
      <c r="B10" s="42">
        <f>Inputs!$B$7/(Inputs!$B$11*8760*B9)</f>
        <v/>
      </c>
      <c r="D10" s="3" t="inlineStr">
        <is>
          <t>fully-loaded $/GPU / (life x 8760h x utilization)</t>
        </is>
      </c>
    </row>
    <row r="11">
      <c r="A11" t="inlineStr">
        <is>
          <t>Power $/hr</t>
        </is>
      </c>
      <c r="B11" s="42">
        <f>Inputs!$B$8*Inputs!$B$9</f>
        <v/>
      </c>
      <c r="D11" s="3" t="inlineStr">
        <is>
          <t>wall kW x $/kWh</t>
        </is>
      </c>
    </row>
    <row r="12">
      <c r="A12" t="inlineStr">
        <is>
          <t>DC/staff adder $/hr</t>
        </is>
      </c>
      <c r="B12" s="56" t="n">
        <v>0.3</v>
      </c>
    </row>
    <row r="13">
      <c r="A13" s="7" t="inlineStr">
        <is>
          <t>Owned TCO $/hr</t>
        </is>
      </c>
      <c r="B13" s="57">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34" t="inlineStr">
        <is>
          <t>SERVING &amp; TRAINING — measured 2026-08-07/08 (2/4/8 x H100), priced at the CostLadder rent mid ($2.50/GPU-hr). Source: internal measurement archive (keys in the model).</t>
        </is>
      </c>
      <c r="B1" s="35" t="n"/>
      <c r="C1" s="35" t="n"/>
      <c r="D1" s="35" t="n"/>
      <c r="E1" s="35" t="n"/>
      <c r="F1" s="35" t="n"/>
    </row>
    <row r="4">
      <c r="A4" s="34" t="inlineStr">
        <is>
          <t>WORKLOAD — measured pre-campaign blend (background; the workbook lever lives at Inputs B24/B25)</t>
        </is>
      </c>
      <c r="B4" s="35" t="n"/>
      <c r="C4" s="35" t="n"/>
      <c r="D4" s="35" t="n"/>
      <c r="E4" s="35" t="n"/>
      <c r="F4" s="35"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51" t="n">
        <v>10</v>
      </c>
      <c r="F7" s="3" t="inlineStr">
        <is>
          <t>~10:1 = code / reasoning / agent traces. 50-100:1 = RAG and document QA.</t>
        </is>
      </c>
    </row>
    <row r="8">
      <c r="A8" t="inlineStr">
        <is>
          <t>E[context] (tokens)</t>
        </is>
      </c>
      <c r="B8" s="53" t="n">
        <v>65536</v>
      </c>
      <c r="F8" s="3" t="inlineStr">
        <is>
          <t>Our decode cost is context-flat and the transformer's is linear, so the decode advantage is linear in this.</t>
        </is>
      </c>
    </row>
    <row r="9">
      <c r="A9" t="inlineStr">
        <is>
          <t>Training share of accelerator cost</t>
        </is>
      </c>
      <c r="B9" s="56"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38" t="n">
        <v>4496.668604837461</v>
      </c>
    </row>
    <row r="13">
      <c r="A13" t="inlineStr">
        <is>
          <t>KV MB per token per stream</t>
        </is>
      </c>
      <c r="B13" s="59" t="n">
        <v>0.15234375</v>
      </c>
    </row>
    <row r="14">
      <c r="A14" t="inlineStr">
        <is>
          <t>HBM TB/s per GPU</t>
        </is>
      </c>
      <c r="B14" s="56" t="n">
        <v>3.35</v>
      </c>
    </row>
    <row r="15">
      <c r="A15" t="inlineStr">
        <is>
          <t>Transformer KV compression (mature stack)</t>
        </is>
      </c>
      <c r="B15" s="51" t="n">
        <v>1</v>
      </c>
    </row>
    <row r="16">
      <c r="A16" t="inlineStr">
        <is>
          <t>GPUs per box</t>
        </is>
      </c>
      <c r="B16" s="60" t="n">
        <v>8</v>
      </c>
    </row>
    <row r="17">
      <c r="A17" t="inlineStr">
        <is>
          <t>Training advantage, short sequence (owned / transformer)</t>
        </is>
      </c>
      <c r="B17" s="61"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42">
        <f>$B$8*$B$13/1024</f>
        <v/>
      </c>
    </row>
    <row r="21">
      <c r="A21" t="inlineStr">
        <is>
          <t>KV GB per stream, compressed</t>
        </is>
      </c>
      <c r="B21" s="62">
        <f>$B$20/$B$15</f>
        <v/>
      </c>
    </row>
    <row r="22">
      <c r="A22" t="inlineStr">
        <is>
          <t>Transformer decode, tokens/s/box</t>
        </is>
      </c>
      <c r="B22" s="41">
        <f>511.8416*32768/$B$8*$B$15*$B$16</f>
        <v/>
      </c>
      <c r="F22" s="3" t="inlineStr">
        <is>
          <t>MEASURED 1/context law (2026-08-14 re-base): 511.84 tok/s/GPU at 32,768 ctx x 32768/E[context] x KV-compression x GPUs. Crosses our flat 562/GPU near ~30k context.</t>
        </is>
      </c>
    </row>
    <row r="23">
      <c r="A23" t="inlineStr">
        <is>
          <t>Prefill table row (lookup)</t>
        </is>
      </c>
      <c r="B23" s="63">
        <f>MATCH($B$8,$A$33:$A$39,1)</f>
        <v/>
      </c>
    </row>
    <row r="24">
      <c r="A24" t="inlineStr">
        <is>
          <t>Prefill tokens/s/box — transformer</t>
        </is>
      </c>
      <c r="B24" s="41">
        <f>IF(INDEX($B$33:$B$39,MIN($B$23+1,7))=INDEX($B$33:$B$39,$B$23),INDEX($B$33:$B$39,$B$23),EXP(LN(INDEX($B$33:$B$39,$B$23))+(LN($B$8)-LN(INDEX($A$33:$A$39,$B$23)))/(LN(INDEX($A$33:$A$39,MIN($B$23+1,7)))-LN(INDEX($A$33:$A$39,$B$23)))*(LN(INDEX($B$33:$B$39,MIN($B$23+1,7)))-LN(INDEX($B$33:$B$39,$B$23)))))*$B$16</f>
        <v/>
      </c>
    </row>
    <row r="25">
      <c r="A25" t="inlineStr">
        <is>
          <t>Prefill tokens/s/box — owned</t>
        </is>
      </c>
      <c r="B25" s="41">
        <f>IF(INDEX($C$33:$C$39,MIN($B$23+1,7))=INDEX($C$33:$C$39,$B$23),INDEX($C$33:$C$39,$B$23),EXP(LN(INDEX($C$33:$C$39,$B$23))+(LN($B$8)-LN(INDEX($A$33:$A$39,$B$23)))/(LN(INDEX($A$33:$A$39,MIN($B$23+1,7)))-LN(INDEX($A$33:$A$39,$B$23)))*(LN(INDEX($C$33:$C$39,MIN($B$23+1,7)))-LN(INDEX($C$33:$C$39,$B$23)))))*$B$16</f>
        <v/>
      </c>
    </row>
    <row r="26">
      <c r="A26" t="inlineStr">
        <is>
          <t>Transformer seconds per generated token</t>
        </is>
      </c>
      <c r="B26" s="64">
        <f>$B$7/$B$24+1/$B$22</f>
        <v/>
      </c>
    </row>
    <row r="27">
      <c r="A27" t="inlineStr">
        <is>
          <t>Owned seconds per generated token</t>
        </is>
      </c>
      <c r="B27" s="64">
        <f>$B$7/$B$25+1/$B$12</f>
        <v/>
      </c>
    </row>
    <row r="28">
      <c r="A28" s="7" t="inlineStr">
        <is>
          <t>BLENDED COMPUTE LEVER (flop_factor)</t>
        </is>
      </c>
      <c r="B28" s="57">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42">
        <f>($B$7/$B$24)/($B$7/$B$25)</f>
        <v/>
      </c>
    </row>
    <row r="30">
      <c r="A30" t="inlineStr">
        <is>
          <t xml:space="preserve">  of which: decode advantage</t>
        </is>
      </c>
      <c r="B30" s="65">
        <f>(1/$B$22)/(1/$B$12)</f>
        <v/>
      </c>
    </row>
    <row r="32">
      <c r="A32" s="7" t="inlineStr">
        <is>
          <t>Measured prefill throughput, tokens/s/GPU (bf16 saturated lane, d2048)</t>
        </is>
      </c>
      <c r="D32" s="66" t="inlineStr">
        <is>
          <t>Context</t>
        </is>
      </c>
      <c r="E32" s="66" t="inlineStr">
        <is>
          <t>Transformer</t>
        </is>
      </c>
      <c r="F32" s="66" t="inlineStr">
        <is>
          <t>Owned</t>
        </is>
      </c>
    </row>
    <row r="33">
      <c r="A33" s="67" t="n">
        <v>2048</v>
      </c>
      <c r="B33" s="38" t="n">
        <v>4682606.88285999</v>
      </c>
      <c r="C33" s="38" t="n">
        <v>1185825</v>
      </c>
    </row>
    <row r="34">
      <c r="A34" s="67" t="n">
        <v>8192</v>
      </c>
      <c r="B34" s="38" t="n">
        <v>3450080</v>
      </c>
      <c r="C34" s="38" t="n">
        <v>1183690</v>
      </c>
    </row>
    <row r="35">
      <c r="A35" s="67" t="n">
        <v>32768</v>
      </c>
      <c r="B35" s="38" t="n">
        <v>1711802</v>
      </c>
      <c r="C35" s="38" t="n">
        <v>1186661</v>
      </c>
    </row>
    <row r="36">
      <c r="A36" s="67" t="n">
        <v>65536</v>
      </c>
      <c r="B36" s="38" t="n">
        <v>1007187</v>
      </c>
      <c r="C36" s="38" t="n">
        <v>1181622</v>
      </c>
    </row>
    <row r="37">
      <c r="A37" s="67" t="n">
        <v>131072</v>
      </c>
      <c r="B37" s="38" t="n">
        <v>541094</v>
      </c>
      <c r="C37" s="38" t="n">
        <v>978107</v>
      </c>
    </row>
    <row r="38">
      <c r="A38" s="67" t="n">
        <v>262144</v>
      </c>
      <c r="B38" s="38" t="n">
        <v>277474</v>
      </c>
      <c r="C38" s="38" t="n">
        <v>726142</v>
      </c>
    </row>
    <row r="39">
      <c r="A39" s="67" t="n">
        <v>524288</v>
      </c>
      <c r="B39" s="38" t="n">
        <v>140820</v>
      </c>
      <c r="C39" s="38"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34" t="inlineStr">
        <is>
          <t>Serving at long context — $/1M generated tokens, one 8xH100 box</t>
        </is>
      </c>
      <c r="B43" s="35" t="n"/>
      <c r="C43" s="35" t="n"/>
      <c r="D43" s="35" t="n"/>
      <c r="E43" s="35" t="n"/>
      <c r="F43" s="35" t="n"/>
    </row>
    <row r="44">
      <c r="A44" s="66" t="inlineStr">
        <is>
          <t>Context (tokens)</t>
        </is>
      </c>
      <c r="B44" s="66" t="inlineStr">
        <is>
          <t>bAttention $/1M tok</t>
        </is>
      </c>
      <c r="C44" s="66" t="inlineStr">
        <is>
          <t>Transformer $/1M tok (mature stack)</t>
        </is>
      </c>
      <c r="D44" s="66" t="inlineStr">
        <is>
          <t>TF streams/GPU</t>
        </is>
      </c>
      <c r="E44" s="66" t="inlineStr">
        <is>
          <t>Cost ratio</t>
        </is>
      </c>
      <c r="F44" s="66" t="inlineStr">
        <is>
          <t>Note</t>
        </is>
      </c>
    </row>
    <row r="45">
      <c r="A45" s="67" t="n">
        <v>4096</v>
      </c>
      <c r="B45" s="68" t="n">
        <v>1.235482541359387</v>
      </c>
      <c r="C45" s="69" t="n">
        <v>0.1695945640120853</v>
      </c>
      <c r="D45" s="63" t="n">
        <v>118</v>
      </c>
      <c r="E45" s="70" t="n">
        <v>0.1372698992779634</v>
      </c>
      <c r="F45" s="24" t="inlineStr"/>
    </row>
    <row r="46">
      <c r="A46" s="67" t="n">
        <v>16384</v>
      </c>
      <c r="B46" s="68" t="n">
        <v>1.235482541359387</v>
      </c>
      <c r="C46" s="69" t="n">
        <v>0.678378256048341</v>
      </c>
      <c r="D46" s="63" t="n">
        <v>29</v>
      </c>
      <c r="E46" s="70" t="n">
        <v>0.5490795971118535</v>
      </c>
      <c r="F46" s="24" t="inlineStr"/>
    </row>
    <row r="47">
      <c r="A47" s="67" t="n">
        <v>32768</v>
      </c>
      <c r="B47" s="68" t="n">
        <v>1.235482541359387</v>
      </c>
      <c r="C47" s="69" t="n">
        <v>1.356756512096682</v>
      </c>
      <c r="D47" s="63" t="n">
        <v>14</v>
      </c>
      <c r="E47" s="70" t="n">
        <v>1.098159194223707</v>
      </c>
      <c r="F47" s="24" t="inlineStr"/>
    </row>
    <row r="48">
      <c r="A48" s="67" t="n">
        <v>65536</v>
      </c>
      <c r="B48" s="68" t="n">
        <v>1.235482541359387</v>
      </c>
      <c r="C48" s="69" t="n">
        <v>2.713513024193364</v>
      </c>
      <c r="D48" s="63" t="n">
        <v>7</v>
      </c>
      <c r="E48" s="70" t="n">
        <v>2.196318388447414</v>
      </c>
      <c r="F48" s="24" t="inlineStr"/>
    </row>
    <row r="49">
      <c r="A49" s="67" t="n">
        <v>131072</v>
      </c>
      <c r="B49" s="68" t="n">
        <v>1.235482541359387</v>
      </c>
      <c r="C49" s="69" t="n">
        <v>5.427026048386728</v>
      </c>
      <c r="D49" s="63" t="n">
        <v>3</v>
      </c>
      <c r="E49" s="70" t="n">
        <v>4.392636776894828</v>
      </c>
      <c r="F49" s="24" t="inlineStr"/>
    </row>
    <row r="50">
      <c r="A50" s="67" t="n">
        <v>262144</v>
      </c>
      <c r="B50" s="68" t="n">
        <v>1.235482541359387</v>
      </c>
      <c r="C50" s="69" t="n">
        <v>10.85405209677346</v>
      </c>
      <c r="D50" s="63" t="n">
        <v>1</v>
      </c>
      <c r="E50" s="70" t="n">
        <v>8.785273553789656</v>
      </c>
      <c r="F50" s="24" t="inlineStr">
        <is>
          <t>a measured decode cell (64 streams/GPU against the transformer 1)</t>
        </is>
      </c>
    </row>
    <row r="51">
      <c r="A51" s="67" t="n">
        <v>1048576</v>
      </c>
      <c r="B51" s="71" t="n">
        <v>1.235482541359387</v>
      </c>
      <c r="C51" s="69" t="n">
        <v/>
      </c>
      <c r="D51" s="63" t="n">
        <v>0</v>
      </c>
      <c r="E51" s="70"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34" t="inlineStr">
        <is>
          <t>Training at scale — same cluster, more steps/s</t>
        </is>
      </c>
      <c r="B54" s="35" t="n"/>
      <c r="C54" s="35" t="n"/>
      <c r="D54" s="35" t="n"/>
      <c r="E54" s="35" t="n"/>
      <c r="F54" s="35" t="n"/>
    </row>
    <row r="55">
      <c r="A55" s="66" t="inlineStr">
        <is>
          <t>Metric</t>
        </is>
      </c>
      <c r="B55" s="66" t="inlineStr">
        <is>
          <t>Value</t>
        </is>
      </c>
      <c r="C55" s="66" t="inlineStr">
        <is>
          <t>Ratio / consequence</t>
        </is>
      </c>
      <c r="D55" s="66" t="inlineStr"/>
      <c r="E55" s="66" t="inlineStr"/>
      <c r="F55" s="66" t="inlineStr">
        <is>
          <t>Status — internal measurement archive key</t>
        </is>
      </c>
    </row>
    <row r="56">
      <c r="A56" s="17" t="inlineStr">
        <is>
          <t>8-GPU speedup, matched load (16 in flight)</t>
        </is>
      </c>
      <c r="B56" s="72" t="inlineStr">
        <is>
          <t>x5.15 fwd+bwd vs x3.70 fwd-only Ulysses best</t>
        </is>
      </c>
      <c r="C56" s="73" t="inlineStr">
        <is>
          <t>x1.39 cluster throughput</t>
        </is>
      </c>
      <c r="F56" s="24" t="inlineStr">
        <is>
          <t>MEASURED — matched_load_curve</t>
        </is>
      </c>
    </row>
    <row r="57">
      <c r="A57" s="17" t="inlineStr">
        <is>
          <t>8-GPU speedup, deep load (256 in flight)</t>
        </is>
      </c>
      <c r="B57" s="72" t="inlineStr">
        <is>
          <t>x6.27 (pipeline keeps filling; TF saturated by 16)</t>
        </is>
      </c>
      <c r="C57" s="73" t="inlineStr">
        <is>
          <t>x1.70</t>
        </is>
      </c>
      <c r="F57" s="24" t="inlineStr">
        <is>
          <t>MEASURED — scaling_1to8_best</t>
        </is>
      </c>
    </row>
    <row r="58">
      <c r="A58" s="17" t="inlineStr">
        <is>
          <t>GPU-hours for the same training work</t>
        </is>
      </c>
      <c r="B58" s="74" t="inlineStr">
        <is>
          <t>-28% (matched) … -41% (deep)</t>
        </is>
      </c>
      <c r="C58" s="17" t="inlineStr"/>
      <c r="F58" s="24" t="inlineStr">
        <is>
          <t>derived</t>
        </is>
      </c>
    </row>
    <row r="59">
      <c r="A59" s="17" t="inlineStr">
        <is>
          <t>64k-token sequence on one 80 GB GPU</t>
        </is>
      </c>
      <c r="B59" s="72" t="inlineStr">
        <is>
          <t>30.9 GB fits vs OOM (78.4 GB attempted)</t>
        </is>
      </c>
      <c r="C59" s="17" t="inlineStr"/>
      <c r="F59" s="24" t="inlineStr">
        <is>
          <t>MEASURED — pipeline_feasibility</t>
        </is>
      </c>
    </row>
    <row r="60">
      <c r="A60" s="17" t="inlineStr">
        <is>
          <t>Pipeline per-GPU peak (flat in load)</t>
        </is>
      </c>
      <c r="B60" s="72" t="inlineStr">
        <is>
          <t>9.05 GB vs 43.3 GB GPipe stage</t>
        </is>
      </c>
      <c r="C60" s="73" t="inlineStr">
        <is>
          <t>x4.8 (component-scope, width-unmatched)</t>
        </is>
      </c>
      <c r="F60" s="24" t="inlineStr">
        <is>
          <t>MEASURED — pipeline_memory_asymmetry</t>
        </is>
      </c>
    </row>
    <row r="61">
      <c r="A61" s="17" t="inlineStr">
        <is>
          <t>Params for equal quality at 70B</t>
        </is>
      </c>
      <c r="B61" s="75" t="inlineStr">
        <is>
          <t>x4.1 [2.2-7.7] transformer</t>
        </is>
      </c>
      <c r="C61" s="17" t="inlineStr"/>
      <c r="F61" s="24" t="inlineStr">
        <is>
          <t>PROJECTION — quality_fit.ref_70B</t>
        </is>
      </c>
    </row>
    <row r="62">
      <c r="A62" s="17" t="inlineStr">
        <is>
          <t>Tokens for equal quality at 70B</t>
        </is>
      </c>
      <c r="B62" s="75" t="inlineStr">
        <is>
          <t>x1.68 [1.33-2.10] (beta=0.28 assumption)</t>
        </is>
      </c>
      <c r="C62" s="17" t="inlineStr"/>
      <c r="F62" s="24" t="inlineStr">
        <is>
          <t>PROJECTION — quality_fit.ref_70B</t>
        </is>
      </c>
    </row>
    <row r="63">
      <c r="A63" s="17" t="inlineStr">
        <is>
          <t>Token-by-token vs production training</t>
        </is>
      </c>
      <c r="B63" s="72" t="inlineStr">
        <is>
          <t>x24 cost to run training token-by-token instead of the production path</t>
        </is>
      </c>
      <c r="C63" s="17" t="inlineStr"/>
      <c r="F63" s="24" t="inlineStr">
        <is>
          <t>MEASURED — token-by-token ratio</t>
        </is>
      </c>
    </row>
    <row r="65">
      <c r="A65" s="34" t="inlineStr">
        <is>
          <t>The measured workload blend (pre-campaign background; the workbook lever lives at Inputs B24/B25)</t>
        </is>
      </c>
      <c r="B65" s="35" t="n"/>
      <c r="C65" s="35" t="n"/>
      <c r="D65" s="35" t="n"/>
      <c r="E65" s="35" t="n"/>
      <c r="F65" s="35"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34" t="inlineStr">
        <is>
          <t>Estimated TRAINING cost at equal quality (ESTIMATE: measured kernels x fitted quality)</t>
        </is>
      </c>
      <c r="B68" s="35" t="n"/>
      <c r="C68" s="35" t="n"/>
      <c r="D68" s="35" t="n"/>
      <c r="E68" s="35" t="n"/>
      <c r="F68" s="35"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66" t="inlineStr">
        <is>
          <t>Transformer params</t>
        </is>
      </c>
      <c r="B71" s="66" t="inlineStr">
        <is>
          <t>s(N) fit</t>
        </is>
      </c>
      <c r="C71" s="66" t="inlineStr">
        <is>
          <t>Chinchilla 2k</t>
        </is>
      </c>
      <c r="D71" s="66" t="inlineStr">
        <is>
          <t>Chinchilla 8k</t>
        </is>
      </c>
      <c r="E71" s="66" t="inlineStr">
        <is>
          <t>Chinchilla 32k</t>
        </is>
      </c>
      <c r="F71" s="66" t="inlineStr">
        <is>
          <t>Chinchilla 256k*</t>
        </is>
      </c>
      <c r="G71" s="66" t="inlineStr">
        <is>
          <t>Fixed-D 2k / 8k / 32k / 256k*</t>
        </is>
      </c>
    </row>
    <row r="72">
      <c r="A72" s="17" t="inlineStr">
        <is>
          <t>1B</t>
        </is>
      </c>
      <c r="B72" s="56" t="n">
        <v>1.187536580013817</v>
      </c>
      <c r="C72" s="42" t="n">
        <v>0.8215525301701575</v>
      </c>
      <c r="D72" s="42" t="n">
        <v>1.151570796996963</v>
      </c>
      <c r="E72" s="42" t="n">
        <v>2.471643864304184</v>
      </c>
      <c r="F72" s="42" t="n">
        <v>14.79232582583825</v>
      </c>
      <c r="G72" s="73" t="inlineStr">
        <is>
          <t>0.69 / 0.97 / 2.08 / 12.46</t>
        </is>
      </c>
    </row>
    <row r="73">
      <c r="A73" s="17" t="inlineStr">
        <is>
          <t>10B</t>
        </is>
      </c>
      <c r="B73" s="56" t="n">
        <v>1.811968550196262</v>
      </c>
      <c r="C73" s="42" t="n">
        <v>1.912681494778985</v>
      </c>
      <c r="D73" s="42" t="n">
        <v>2.681007084096966</v>
      </c>
      <c r="E73" s="42" t="n">
        <v>5.754309441368888</v>
      </c>
      <c r="F73" s="42" t="n">
        <v>34.43846477590683</v>
      </c>
      <c r="G73" s="73" t="inlineStr">
        <is>
          <t>1.06 / 1.48 / 3.18 / 19.01</t>
        </is>
      </c>
    </row>
    <row r="74">
      <c r="A74" s="17" t="inlineStr">
        <is>
          <t>100B</t>
        </is>
      </c>
      <c r="B74" s="56" t="n">
        <v>2.764740120141925</v>
      </c>
      <c r="C74" s="42" t="n">
        <v>4.452972106010361</v>
      </c>
      <c r="D74" s="42" t="n">
        <v>6.241734336892029</v>
      </c>
      <c r="E74" s="42" t="n">
        <v>13.3967832604187</v>
      </c>
      <c r="F74" s="42" t="n">
        <v>80.17723988000094</v>
      </c>
      <c r="G74" s="73" t="inlineStr">
        <is>
          <t>1.61 / 2.26 / 4.85 / 29.00</t>
        </is>
      </c>
    </row>
    <row r="75">
      <c r="A75" s="17" t="inlineStr">
        <is>
          <t>1T</t>
        </is>
      </c>
      <c r="B75" s="56" t="n">
        <v>4.21849922897088</v>
      </c>
      <c r="C75" s="42" t="n">
        <v>10.36710013195259</v>
      </c>
      <c r="D75" s="42" t="n">
        <v>14.53157202136217</v>
      </c>
      <c r="E75" s="42" t="n">
        <v>31.1894595790005</v>
      </c>
      <c r="F75" s="42" t="n">
        <v>186.6630767836249</v>
      </c>
      <c r="G75" s="73" t="inlineStr">
        <is>
          <t>2.46 / 3.44 / 7.39 / 44.25</t>
        </is>
      </c>
    </row>
    <row r="76">
      <c r="A76" s="17" t="inlineStr">
        <is>
          <t>10T</t>
        </is>
      </c>
      <c r="B76" s="56" t="n">
        <v>6.436675771144228</v>
      </c>
      <c r="C76" s="42" t="n">
        <v>24.13596191201503</v>
      </c>
      <c r="D76" s="42" t="n">
        <v>33.83139589327395</v>
      </c>
      <c r="E76" s="42" t="n">
        <v>72.61313181830963</v>
      </c>
      <c r="F76" s="42" t="n">
        <v>434.576000451976</v>
      </c>
      <c r="G76" s="73"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66" t="inlineStr">
        <is>
          <t>Training curriculum</t>
        </is>
      </c>
      <c r="B80" s="66" t="inlineStr">
        <is>
          <t>Advantage (TF / ours)</t>
        </is>
      </c>
      <c r="C80" s="66" t="inlineStr">
        <is>
          <t>Effective r</t>
        </is>
      </c>
      <c r="D80" s="66" t="inlineStr">
        <is>
          <t>Mix: token share -&gt; transformer cost share</t>
        </is>
      </c>
      <c r="E80" s="66" t="inlineStr">
        <is>
          <t>FY25 cut @ 20% training</t>
        </is>
      </c>
      <c r="F80" s="66" t="inlineStr">
        <is>
          <t>vs serving-only</t>
        </is>
      </c>
      <c r="G80" s="66" t="inlineStr">
        <is>
          <t>Status</t>
        </is>
      </c>
    </row>
    <row r="81">
      <c r="A81" s="17" t="inlineStr">
        <is>
          <t>Legacy short (all training at 2k)</t>
        </is>
      </c>
      <c r="B81" s="76" t="n">
        <v>0.5825609168739004</v>
      </c>
      <c r="C81" s="77" t="n">
        <v>1.716558682594317</v>
      </c>
      <c r="D81" s="24" t="inlineStr">
        <is>
          <t>2k: 100% tok -&gt; 100% cost</t>
        </is>
      </c>
      <c r="E81" s="78" t="n">
        <v>149.7773849697697</v>
      </c>
      <c r="F81" s="79" t="n">
        <v>-10.77282758605313</v>
      </c>
      <c r="G81" s="80" t="inlineStr">
        <is>
          <t>MEASURED (degenerate one-context case)</t>
        </is>
      </c>
    </row>
    <row r="82">
      <c r="A82" s="17" t="inlineStr">
        <is>
          <t>Modern standard (8k bulk + 64k/256k extension)</t>
        </is>
      </c>
      <c r="B82" s="76" t="n">
        <v>2.220667013967386</v>
      </c>
      <c r="C82" s="77" t="n">
        <v>0.4503151502275102</v>
      </c>
      <c r="D82" s="24" t="inlineStr">
        <is>
          <t>8k: 70% tok -&gt; 26% cost  64k: 20% tok -&gt; 27% cost  256k: 10% tok -&gt; 47% cost</t>
        </is>
      </c>
      <c r="E82" s="78" t="n">
        <v>153.657942599222</v>
      </c>
      <c r="F82" s="79" t="n">
        <v>-6.892269956600785</v>
      </c>
      <c r="G82" s="81" t="inlineStr">
        <is>
          <t>ILLUSTRATIVE ASSUMPTION</t>
        </is>
      </c>
    </row>
    <row r="83">
      <c r="A83" s="17" t="inlineStr">
        <is>
          <t>Long-context heavy (frontier extension phases)</t>
        </is>
      </c>
      <c r="B83" s="76" t="n">
        <v>7.743424712739709</v>
      </c>
      <c r="C83" s="77" t="n">
        <v>0.1291418251093435</v>
      </c>
      <c r="D83" s="24" t="inlineStr">
        <is>
          <t>8k: 40% tok -&gt; 4% cost  64k: 25% tok -&gt; 10% cost  256k: 25% tok -&gt; 34% cost  1024k: 10% tok -&gt; 52% cost</t>
        </is>
      </c>
      <c r="E83" s="78" t="n">
        <v>154.6422173973205</v>
      </c>
      <c r="F83" s="79" t="n">
        <v>-5.907995158502331</v>
      </c>
      <c r="G83" s="81" t="inlineStr">
        <is>
          <t>ILLUSTRATIVE ASSUMPTION</t>
        </is>
      </c>
    </row>
    <row r="84">
      <c r="A84" s="17" t="inlineStr">
        <is>
          <t>Frontier + long-rollout RL</t>
        </is>
      </c>
      <c r="B84" s="76" t="n">
        <v>12.08050561742532</v>
      </c>
      <c r="C84" s="77" t="n">
        <v>0.08277799221893223</v>
      </c>
      <c r="D84" s="24" t="inlineStr">
        <is>
          <t>8k: 30% tok -&gt; 2% cost  64k: 20% tok -&gt; 5% cost  256k: 30% tok -&gt; 26% cost  1024k: 20% tok -&gt; 67% cost</t>
        </is>
      </c>
      <c r="E84" s="78" t="n">
        <v>154.784305013845</v>
      </c>
      <c r="F84" s="79" t="n">
        <v>-5.765907541977811</v>
      </c>
      <c r="G84" s="81"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66" t="inlineStr">
        <is>
          <t>Context (tokens)</t>
        </is>
      </c>
      <c r="B90" s="66" t="inlineStr">
        <is>
          <t>Transformer ms</t>
        </is>
      </c>
      <c r="C90" s="66" t="inlineStr">
        <is>
          <t>bAttention ms</t>
        </is>
      </c>
      <c r="D90" s="66" t="inlineStr">
        <is>
          <t>TF / bAttention</t>
        </is>
      </c>
      <c r="E90" s="66" t="inlineStr"/>
      <c r="F90" s="66" t="inlineStr">
        <is>
          <t>Note</t>
        </is>
      </c>
    </row>
    <row r="91">
      <c r="A91" s="67" t="n">
        <v>2048</v>
      </c>
      <c r="B91" s="39" t="n">
        <v>111.229</v>
      </c>
      <c r="C91" s="36" t="n">
        <v>663.1130000000001</v>
      </c>
      <c r="D91" s="76" t="n">
        <v>0.16773762541226</v>
      </c>
      <c r="F91" s="24" t="inlineStr">
        <is>
          <t>transformer ahead</t>
        </is>
      </c>
    </row>
    <row r="92">
      <c r="A92" s="67" t="n">
        <v>4096</v>
      </c>
      <c r="B92" s="39" t="n">
        <v>125.091</v>
      </c>
      <c r="C92" s="36" t="n">
        <v>662.751</v>
      </c>
      <c r="D92" s="76" t="n">
        <v>0.1887450943114382</v>
      </c>
      <c r="F92" s="24" t="inlineStr">
        <is>
          <t>transformer ahead</t>
        </is>
      </c>
    </row>
    <row r="93">
      <c r="A93" s="67" t="n">
        <v>8192</v>
      </c>
      <c r="B93" s="39" t="n">
        <v>153.085</v>
      </c>
      <c r="C93" s="36" t="n">
        <v>663.327</v>
      </c>
      <c r="D93" s="76" t="n">
        <v>0.2307836104967836</v>
      </c>
      <c r="F93" s="24" t="inlineStr">
        <is>
          <t>transformer ahead</t>
        </is>
      </c>
    </row>
    <row r="94">
      <c r="A94" s="67" t="n">
        <v>16384</v>
      </c>
      <c r="B94" s="39" t="n">
        <v>204.919</v>
      </c>
      <c r="C94" s="36" t="n">
        <v>663.202</v>
      </c>
      <c r="D94" s="76" t="n">
        <v>0.3089842913622094</v>
      </c>
      <c r="F94" s="24" t="inlineStr">
        <is>
          <t>transformer ahead</t>
        </is>
      </c>
    </row>
    <row r="95">
      <c r="A95" s="67" t="n">
        <v>32768</v>
      </c>
      <c r="B95" s="39" t="n">
        <v>309.886</v>
      </c>
      <c r="C95" s="36" t="n">
        <v>662.6180000000001</v>
      </c>
      <c r="D95" s="76" t="n">
        <v>0.4676691547769605</v>
      </c>
      <c r="F95" s="24" t="inlineStr">
        <is>
          <t>transformer ahead</t>
        </is>
      </c>
    </row>
    <row r="96">
      <c r="A96" s="67" t="n">
        <v>65536</v>
      </c>
      <c r="B96" s="39" t="n">
        <v>520.986</v>
      </c>
      <c r="C96" s="36" t="n">
        <v>663.199</v>
      </c>
      <c r="D96" s="76" t="n">
        <v>0.7855651169558459</v>
      </c>
      <c r="F96" s="24" t="inlineStr">
        <is>
          <t>transformer ahead</t>
        </is>
      </c>
    </row>
    <row r="97">
      <c r="A97" s="67" t="n">
        <v>131072</v>
      </c>
      <c r="B97" s="39" t="n">
        <v>969.79</v>
      </c>
      <c r="C97" s="36" t="n">
        <v>753.457</v>
      </c>
      <c r="D97" s="76" t="n">
        <v>1.287120565606265</v>
      </c>
      <c r="F97" s="24" t="inlineStr"/>
    </row>
    <row r="98">
      <c r="A98" s="67" t="n">
        <v>262144</v>
      </c>
      <c r="B98" s="39" t="n">
        <v>1889.616</v>
      </c>
      <c r="C98" s="36" t="n">
        <v>938.175</v>
      </c>
      <c r="D98" s="76" t="n">
        <v>2.014140219042289</v>
      </c>
      <c r="F98" s="24" t="inlineStr"/>
    </row>
    <row r="99">
      <c r="A99" s="67" t="n">
        <v>524288</v>
      </c>
      <c r="B99" s="39" t="n">
        <v>3718.717</v>
      </c>
      <c r="C99" s="36" t="n">
        <v>1308.837</v>
      </c>
      <c r="D99" s="76" t="n">
        <v>2.841237678947035</v>
      </c>
      <c r="F99" s="24" t="inlineStr"/>
    </row>
    <row r="101">
      <c r="A101" s="34" t="inlineStr">
        <is>
          <t>Assumptions — one row each (MEASURED / PROJECTION / ASSUMPTION)</t>
        </is>
      </c>
      <c r="B101" s="35" t="n"/>
      <c r="C101" s="35" t="n"/>
      <c r="D101" s="35" t="n"/>
      <c r="E101" s="35" t="n"/>
      <c r="F101" s="35" t="n"/>
    </row>
    <row r="102">
      <c r="A102" s="66" t="inlineStr">
        <is>
          <t>Assumption</t>
        </is>
      </c>
      <c r="B102" s="66" t="inlineStr">
        <is>
          <t>Value</t>
        </is>
      </c>
      <c r="C102" s="66" t="inlineStr"/>
      <c r="D102" s="66" t="inlineStr"/>
      <c r="E102" s="66" t="inlineStr">
        <is>
          <t>Status</t>
        </is>
      </c>
      <c r="F102" s="66" t="inlineStr">
        <is>
          <t>Source</t>
        </is>
      </c>
    </row>
    <row r="103">
      <c r="A103" s="17" t="inlineStr">
        <is>
          <t>Compute lever (Today, 2026-09-01 re-base)</t>
        </is>
      </c>
      <c r="B103" s="24" t="inlineStr">
        <is>
          <t>x793 = full-workload serving lever (decode 2.5 ms/token x 64 streams ESTIMATE, prefill at the BANKED x3.94) x the x4.22 FIT-DERIVED equal-quality ratio at trillion scale; Ceiling = same at the full x7.03 maturity factor (x816)</t>
        </is>
      </c>
      <c r="E103" s="81"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81"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80"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80"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81"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81"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81"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81"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81" t="inlineStr">
        <is>
          <t>ASSUMPTION</t>
        </is>
      </c>
      <c r="F111" s="24" t="inlineStr">
        <is>
          <t>this file's CostLadder row — unchanged rate basis</t>
        </is>
      </c>
    </row>
    <row r="112">
      <c r="A112" s="17" t="inlineStr">
        <is>
          <t>Utilization</t>
        </is>
      </c>
      <c r="B112" s="24" t="inlineStr">
        <is>
          <t>85%</t>
        </is>
      </c>
      <c r="E112" s="81"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81"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80"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81"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80"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80"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80"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80"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80"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80"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81"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80"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81"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81" t="inlineStr">
        <is>
          <t>LABEL</t>
        </is>
      </c>
      <c r="F125" s="24" t="inlineStr">
        <is>
          <t>internal measurement archive scope_reconciliation; deck README</t>
        </is>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34" t="inlineStr">
        <is>
          <t>EVIDENCE — cost split, accelerator share, own-silicon TCO, filing data</t>
        </is>
      </c>
      <c r="B1" s="35" t="n"/>
      <c r="C1" s="35" t="n"/>
      <c r="D1" s="35"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3" t="n">
        <v>0.45</v>
      </c>
      <c r="C27" s="65">
        <f>1/(B27/Inputs!$B$2+(1-B27)/Inputs!$B$3)</f>
        <v/>
      </c>
      <c r="D27" t="inlineStr">
        <is>
          <t>memory term dominates -&gt; pinned near the 100x memory lever</t>
        </is>
      </c>
    </row>
    <row r="28">
      <c r="A28" t="inlineStr">
        <is>
          <t>memory share = 50%</t>
        </is>
      </c>
      <c r="B28" s="33" t="n">
        <v>0.5</v>
      </c>
      <c r="C28" s="65">
        <f>1/(B28/Inputs!$B$2+(1-B28)/Inputs!$B$3)</f>
        <v/>
      </c>
      <c r="D28" t="inlineStr">
        <is>
          <t>memory term dominates -&gt; pinned near the 100x memory lever</t>
        </is>
      </c>
    </row>
    <row r="29">
      <c r="A29" t="inlineStr">
        <is>
          <t>memory share = 60%</t>
        </is>
      </c>
      <c r="B29" s="33" t="n">
        <v>0.6</v>
      </c>
      <c r="C29" s="65">
        <f>1/(B29/Inputs!$B$2+(1-B29)/Inputs!$B$3)</f>
        <v/>
      </c>
      <c r="D29" t="inlineStr">
        <is>
          <t>memory term dominates -&gt; pinned near the 100x memory lever</t>
        </is>
      </c>
    </row>
    <row r="30">
      <c r="A30" t="inlineStr">
        <is>
          <t>memory share = 70%</t>
        </is>
      </c>
      <c r="B30" s="33" t="n">
        <v>0.7</v>
      </c>
      <c r="C30" s="65">
        <f>1/(B30/Inputs!$B$2+(1-B30)/Inputs!$B$3)</f>
        <v/>
      </c>
      <c r="D30" t="inlineStr">
        <is>
          <t>memory term dominates -&gt; pinned near the 100x memory lever</t>
        </is>
      </c>
    </row>
    <row r="31">
      <c r="A31" t="inlineStr">
        <is>
          <t>memory share = 82%</t>
        </is>
      </c>
      <c r="B31" s="33" t="n">
        <v>0.82</v>
      </c>
      <c r="C31" s="65">
        <f>1/(B31/Inputs!$B$2+(1-B31)/Inputs!$B$3)</f>
        <v/>
      </c>
      <c r="D31" t="inlineStr">
        <is>
          <t>memory term dominates -&gt; pinned near the 100x memory lever</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(data-center) share from 10-K/10-Q P&amp;E and segment notes (MSFT 97%, Alphabet 93-95%, Meta 95-98%, Amazon AWS 68-76%);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~x154 TODAY and ~x154 at the CEILING — memory-floored at /100; the levers differ ~3% but the reduction ~0.3%.</t>
        </is>
      </c>
    </row>
    <row r="18">
      <c r="A18" s="3" t="inlineStr">
        <is>
          <t>- Net AI FY25: 6 named firms spend ~$362B (capex+opex) vs ~$79B AI revenue = ~ -$283B/yr cash burn.</t>
        </is>
      </c>
    </row>
    <row r="19">
      <c r="A19" s="3" t="inlineStr">
        <is>
          <t>- With our architecture: spend cut ~$161B -&gt; burn shrinks to ~ -$122B/yr (~44% of AI spend cut).</t>
        </is>
      </c>
    </row>
    <row r="20">
      <c r="A20" s="3" t="inlineStr">
        <is>
          <t>- Spend-cut value (named floor, 6% discount rate): FY25 ~$161B/yr (~$2.7T capitalized); FY26 r/r ~$380B/yr (~$6.3T). Ceiling: within rounding of Today (the cut saturates).</t>
        </is>
      </c>
    </row>
    <row r="21">
      <c r="A21" s="3" t="inlineStr">
        <is>
          <t>- GLOBAL estimate (named ~80% of world AI capex): FY25 ~$3.3T, FY26 ~$7.9T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~793x ~ 79,000x)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2026-09-29T01:16:11Z</dcterms:created>
  <dcterms:modified xsi:type="dcterms:W3CDTF">2026-09-29T01:16:11Z</dcterms:modified>
</cp:coreProperties>
</file>