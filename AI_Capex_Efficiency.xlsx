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Value Bridge" sheetId="2" state="visible" r:id="rId2"/>
    <sheet xmlns:r="http://schemas.openxmlformats.org/officeDocument/2006/relationships" name="Levers" sheetId="3" state="visible" r:id="rId3"/>
    <sheet xmlns:r="http://schemas.openxmlformats.org/officeDocument/2006/relationships" name="What Matters" sheetId="4" state="visible" r:id="rId4"/>
    <sheet xmlns:r="http://schemas.openxmlformats.org/officeDocument/2006/relationships" name="Microsoft" sheetId="5" state="visible" r:id="rId5"/>
    <sheet xmlns:r="http://schemas.openxmlformats.org/officeDocument/2006/relationships" name="Alphabet" sheetId="6" state="visible" r:id="rId6"/>
    <sheet xmlns:r="http://schemas.openxmlformats.org/officeDocument/2006/relationships" name="Amazon" sheetId="7" state="visible" r:id="rId7"/>
    <sheet xmlns:r="http://schemas.openxmlformats.org/officeDocument/2006/relationships" name="Meta" sheetId="8" state="visible" r:id="rId8"/>
    <sheet xmlns:r="http://schemas.openxmlformats.org/officeDocument/2006/relationships" name="Oracle" sheetId="9" state="visible" r:id="rId9"/>
    <sheet xmlns:r="http://schemas.openxmlformats.org/officeDocument/2006/relationships" name="SpaceX" sheetId="10" state="visible" r:id="rId10"/>
    <sheet xmlns:r="http://schemas.openxmlformats.org/officeDocument/2006/relationships" name="Totals" sheetId="11" state="visible" r:id="rId11"/>
    <sheet xmlns:r="http://schemas.openxmlformats.org/officeDocument/2006/relationships" name="Inputs" sheetId="12" state="visible" r:id="rId12"/>
    <sheet xmlns:r="http://schemas.openxmlformats.org/officeDocument/2006/relationships" name="Sensitivity" sheetId="13" state="visible" r:id="rId13"/>
    <sheet xmlns:r="http://schemas.openxmlformats.org/officeDocument/2006/relationships" name="CostLadder" sheetId="14" state="visible" r:id="rId14"/>
    <sheet xmlns:r="http://schemas.openxmlformats.org/officeDocument/2006/relationships" name="ServingTraining" sheetId="15" state="visible" r:id="rId15"/>
    <sheet xmlns:r="http://schemas.openxmlformats.org/officeDocument/2006/relationships" name="Evidence" sheetId="16" state="visible" r:id="rId16"/>
    <sheet xmlns:r="http://schemas.openxmlformats.org/officeDocument/2006/relationships" name="Methodology" sheetId="17" state="visible" r:id="rId17"/>
  </sheets>
  <definedNames>
    <definedName name="Scenario">Levers!$C$4</definedName>
    <definedName name="DCFollow">Levers!$C$6</definedName>
    <definedName name="SmallerModel">Levers!$C$9</definedName>
    <definedName name="FewerTokens">Levers!$C$10</definedName>
    <definedName name="TrainSpeed">Levers!$C$11</definedName>
    <definedName name="MemoryLever">Levers!$C$12</definedName>
    <definedName name="MoreConversations">Levers!$C$13</definedName>
    <definedName name="FasterDecode">Levers!$C$14</definedName>
    <definedName name="PromptSpeed">Levers!$C$15</definedName>
    <definedName name="TrainLever">Levers!$C$18</definedName>
    <definedName name="DecodeLever">Levers!$C$20</definedName>
    <definedName name="EqualSizeTokens">Levers!$C$21</definedName>
    <definedName name="ServeComputeLever">Levers!$C$22</definedName>
    <definedName name="ServeGPULever">Levers!$C$23</definedName>
    <definedName name="ServersFollow">Levers!$C$34</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10">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
      <color rgb="00FFFFFF"/>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9">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wrapText="1"/>
    </xf>
    <xf numFmtId="180" fontId="0" fillId="4" borderId="1" applyAlignment="1" pivotButton="0" quotePrefix="0" xfId="0">
      <alignment vertical="center"/>
    </xf>
    <xf numFmtId="0" fontId="3" fillId="0" borderId="1" applyAlignment="1" pivotButton="0" quotePrefix="0" xfId="0">
      <alignment vertical="center" wrapText="1"/>
    </xf>
    <xf numFmtId="180" fontId="8" fillId="11" borderId="1" applyAlignment="1" pivotButton="0" quotePrefix="0" xfId="0">
      <alignment vertical="center"/>
    </xf>
    <xf numFmtId="9" fontId="0" fillId="4" borderId="1" applyAlignment="1" pivotButton="0" quotePrefix="0" xfId="0">
      <alignment vertical="center"/>
    </xf>
    <xf numFmtId="185" fontId="0" fillId="4" borderId="1" applyAlignment="1" pivotButton="0" quotePrefix="0" xfId="0">
      <alignment vertical="center"/>
    </xf>
    <xf numFmtId="176" fontId="0" fillId="7" borderId="1" applyAlignment="1" pivotButton="0" quotePrefix="0" xfId="0">
      <alignment vertical="center"/>
    </xf>
    <xf numFmtId="179" fontId="0" fillId="4" borderId="1" applyAlignment="1" pivotButton="0" quotePrefix="0" xfId="0">
      <alignment vertical="center"/>
    </xf>
    <xf numFmtId="179" fontId="0" fillId="7" borderId="1" applyAlignment="1" pivotButton="0" quotePrefix="0" xfId="0">
      <alignment vertical="center"/>
    </xf>
    <xf numFmtId="178" fontId="0" fillId="4" borderId="1" applyAlignment="1" pivotButton="0" quotePrefix="0" xfId="0">
      <alignment vertical="center"/>
    </xf>
    <xf numFmtId="3" fontId="0" fillId="4" borderId="1" applyAlignment="1" pivotButton="0" quotePrefix="0" xfId="0">
      <alignment vertical="center"/>
    </xf>
    <xf numFmtId="180" fontId="3" fillId="4" borderId="1" applyAlignment="1" pivotButton="0" quotePrefix="0" xfId="0">
      <alignment vertical="center"/>
    </xf>
    <xf numFmtId="0" fontId="6" fillId="0" borderId="0" applyAlignment="1" pivotButton="0" quotePrefix="0" xfId="0">
      <alignment vertical="center" wrapText="1"/>
    </xf>
    <xf numFmtId="0" fontId="0" fillId="0" borderId="6" pivotButton="0" quotePrefix="0" xfId="0"/>
    <xf numFmtId="0" fontId="0" fillId="0" borderId="5" pivotButton="0" quotePrefix="0" xfId="0"/>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7" fontId="0" fillId="4" borderId="1" applyAlignment="1" pivotButton="0" quotePrefix="0" xfId="0">
      <alignment vertical="center"/>
    </xf>
    <xf numFmtId="165" fontId="0" fillId="4" borderId="1"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0" fontId="9" fillId="0" borderId="0" applyAlignment="1" pivotButton="0" quotePrefix="0" xfId="0">
      <alignment vertical="center"/>
    </xf>
    <xf numFmtId="0" fontId="0" fillId="0"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179" fontId="3" fillId="4" borderId="1" applyAlignment="1" pivotButton="0" quotePrefix="0" xfId="0">
      <alignment vertical="center"/>
    </xf>
    <xf numFmtId="178" fontId="3" fillId="4" borderId="1"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9" fontId="0" fillId="5" borderId="1" applyAlignment="1" pivotButton="0" quotePrefix="0" xfId="0">
      <alignment vertical="center"/>
    </xf>
    <xf numFmtId="1" fontId="0" fillId="4" borderId="1" applyAlignment="1" pivotButton="0" quotePrefix="0" xfId="0">
      <alignment vertical="center"/>
    </xf>
    <xf numFmtId="186" fontId="0" fillId="4" borderId="1" applyAlignment="1" pivotButton="0" quotePrefix="0" xfId="0">
      <alignment vertical="center"/>
    </xf>
    <xf numFmtId="184" fontId="3" fillId="9" borderId="1" applyAlignment="1" pivotButton="0" quotePrefix="0" xfId="0">
      <alignment vertical="center"/>
    </xf>
    <xf numFmtId="0" fontId="3" fillId="0" borderId="0" applyAlignment="1" pivotButton="0" quotePrefix="0" xfId="0">
      <alignment vertical="top" wrapText="1"/>
    </xf>
    <xf numFmtId="1" fontId="3" fillId="5"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1" applyAlignment="1" pivotButton="0" quotePrefix="0" xfId="0">
      <alignment vertical="center"/>
    </xf>
    <xf numFmtId="179" fontId="3" fillId="7"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1"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6" fontId="0" fillId="5" borderId="1" applyAlignment="1" pivotButton="0" quotePrefix="0" xfId="0">
      <alignment vertical="center"/>
    </xf>
    <xf numFmtId="166" fontId="0" fillId="6"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6" fontId="0" fillId="4" borderId="1" applyAlignment="1" pivotButton="0" quotePrefix="0" xfId="0">
      <alignment vertical="center"/>
    </xf>
    <xf numFmtId="166" fontId="3"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166" fontId="0" fillId="4" borderId="1" pivotButton="0" quotePrefix="0" xfId="0"/>
    <xf numFmtId="166"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1"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1" pivotButton="0" quotePrefix="0" xfId="0"/>
    <xf numFmtId="1" fontId="0" fillId="3" borderId="1" pivotButton="0" quotePrefix="0" xfId="0"/>
    <xf numFmtId="2" fontId="0" fillId="3" borderId="1" pivotButton="0" quotePrefix="0" xfId="0"/>
    <xf numFmtId="167" fontId="0" fillId="6" borderId="1" pivotButton="0" quotePrefix="0" xfId="0"/>
    <xf numFmtId="2" fontId="0" fillId="4" borderId="1" pivotButton="0" quotePrefix="0" xfId="0"/>
    <xf numFmtId="3" fontId="0" fillId="4" borderId="1" pivotButton="0" quotePrefix="0" xfId="0"/>
    <xf numFmtId="1" fontId="0" fillId="6" borderId="1" pivotButton="0" quotePrefix="0" xfId="0"/>
    <xf numFmtId="3" fontId="0" fillId="6" borderId="1" pivotButton="0" quotePrefix="0" xfId="0"/>
    <xf numFmtId="2" fontId="0" fillId="6" borderId="1" pivotButton="0" quotePrefix="0" xfId="0"/>
    <xf numFmtId="166" fontId="0" fillId="7" borderId="1" pivotButton="0" quotePrefix="0" xfId="0"/>
    <xf numFmtId="1" fontId="0" fillId="5" borderId="1" pivotButton="0" quotePrefix="0" xfId="0"/>
    <xf numFmtId="2" fontId="0" fillId="5" borderId="1" pivotButton="0" quotePrefix="0" xfId="0"/>
    <xf numFmtId="166" fontId="0" fillId="5" borderId="1" pivotButton="0" quotePrefix="0" xfId="0"/>
    <xf numFmtId="9" fontId="0" fillId="5" borderId="1" pivotButton="0" quotePrefix="0" xfId="0"/>
    <xf numFmtId="2" fontId="3" fillId="4" borderId="1" pivotButton="0" quotePrefix="0" xfId="0"/>
    <xf numFmtId="168" fontId="0" fillId="6" borderId="1" pivotButton="0" quotePrefix="0" xfId="0"/>
    <xf numFmtId="168" fontId="0" fillId="4" borderId="1" pivotButton="0" quotePrefix="0" xfId="0"/>
    <xf numFmtId="1" fontId="0" fillId="4" borderId="1" pivotButton="0" quotePrefix="0" xfId="0"/>
    <xf numFmtId="167"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6"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FY2026 saving by bucket ($B/yr): chips+power by fleet, then the servers and data centres that follow</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2A78D6"/>
              </a:solidFill>
              <a:ln xmlns:a="http://schemas.openxmlformats.org/drawingml/2006/main">
                <a:solidFill>
                  <a:srgbClr val="2A78D6"/>
                </a:solidFill>
                <a:prstDash val="solid"/>
              </a:ln>
            </spPr>
          </dPt>
          <dPt>
            <idx val="1"/>
            <spPr>
              <a:solidFill xmlns:a="http://schemas.openxmlformats.org/drawingml/2006/main">
                <a:srgbClr val="EB6834"/>
              </a:solidFill>
              <a:ln xmlns:a="http://schemas.openxmlformats.org/drawingml/2006/main">
                <a:solidFill>
                  <a:srgbClr val="EB6834"/>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8E6BD6"/>
              </a:solidFill>
              <a:ln xmlns:a="http://schemas.openxmlformats.org/drawingml/2006/main">
                <a:solidFill>
                  <a:srgbClr val="8E6BD6"/>
                </a:solidFill>
                <a:prstDash val="solid"/>
              </a:ln>
            </spPr>
          </dPt>
          <dLbls>
            <numFmt formatCode="&quot;$&quot;#,##0&quot;B&quot;"/>
            <showLegendKey val="0"/>
            <showVal val="1"/>
            <showCatName val="0"/>
            <showSerName val="0"/>
            <showPercent val="0"/>
          </dLbls>
          <cat>
            <numRef>
              <f>'Value Bridge'!$A$54:$A$57</f>
            </numRef>
          </cat>
          <val>
            <numRef>
              <f>'Value Bridge'!$B$54:$B$57</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FY2026 saving, training vs inference (each incl. power and its share of the followed servers and data centres) — adds to ~$774B/yr at the build defaults</a:t>
            </a:r>
          </a:p>
        </rich>
      </tx>
    </title>
    <plotArea>
      <barChart>
        <barDir val="bar"/>
        <grouping val="stacked"/>
        <ser>
          <idx val="0"/>
          <order val="0"/>
          <tx>
            <v>Training</v>
          </tx>
          <spPr>
            <a:solidFill xmlns:a="http://schemas.openxmlformats.org/drawingml/2006/main">
              <a:srgbClr val="2A78D6"/>
            </a:solidFill>
            <a:ln xmlns:a="http://schemas.openxmlformats.org/drawingml/2006/main">
              <a:solidFill>
                <a:srgbClr val="2A78D6"/>
              </a:solidFill>
              <a:prstDash val="solid"/>
            </a:ln>
          </spPr>
          <dLbls>
            <numFmt formatCode="&quot;$&quot;#,##0&quot;B&quot;"/>
            <showLegendKey val="0"/>
            <showVal val="1"/>
            <showCatName val="0"/>
            <showSerName val="0"/>
            <showPercent val="0"/>
          </dLbls>
          <cat>
            <numRef>
              <f>'Summary'!$A$45</f>
            </numRef>
          </cat>
          <val>
            <numRef>
              <f>'Summary'!$B$35</f>
            </numRef>
          </val>
        </ser>
        <ser>
          <idx val="1"/>
          <order val="1"/>
          <tx>
            <v>Inference</v>
          </tx>
          <spPr>
            <a:solidFill xmlns:a="http://schemas.openxmlformats.org/drawingml/2006/main">
              <a:srgbClr val="EB6834"/>
            </a:solidFill>
            <a:ln xmlns:a="http://schemas.openxmlformats.org/drawingml/2006/main">
              <a:solidFill>
                <a:srgbClr val="EB6834"/>
              </a:solidFill>
              <a:prstDash val="solid"/>
            </a:ln>
          </spPr>
          <dLbls>
            <numFmt formatCode="&quot;$&quot;#,##0&quot;B&quot;"/>
            <showLegendKey val="0"/>
            <showVal val="1"/>
            <showCatName val="0"/>
            <showSerName val="0"/>
            <showPercent val="0"/>
          </dLbls>
          <cat>
            <numRef>
              <f>'Summary'!$A$45</f>
            </numRef>
          </cat>
          <val>
            <numRef>
              <f>'Summary'!$B$39</f>
            </numRef>
          </val>
        </ser>
        <gapWidth val="150"/>
        <overlap val="100"/>
        <axId val="10"/>
        <axId val="100"/>
      </barChart>
      <catAx>
        <axId val="10"/>
        <scaling>
          <orientation val="minMax"/>
        </scaling>
        <delete val="1"/>
        <axPos val="l"/>
        <majorTickMark val="none"/>
        <minorTickMark val="none"/>
        <crossAx val="100"/>
        <lblOffset val="100"/>
      </catAx>
      <valAx>
        <axId val="100"/>
        <scaling>
          <orientation val="minMax"/>
        </scaling>
        <delete val="0"/>
        <axPos val="l"/>
        <numFmt formatCode="&quot;$&quot;#,##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Spend cut as each lever switches on ($B/yr, FY2026)</a:t>
            </a:r>
          </a:p>
        </rich>
      </tx>
    </title>
    <plotArea>
      <barChart>
        <barDir val="bar"/>
        <grouping val="clustered"/>
        <ser>
          <idx val="0"/>
          <order val="0"/>
          <tx>
            <strRef>
              <f>'Value Bridge'!G65</f>
            </strRef>
          </tx>
          <spPr>
            <a:ln xmlns:a="http://schemas.openxmlformats.org/drawingml/2006/main">
              <a:prstDash val="solid"/>
            </a:ln>
          </spPr>
          <dPt>
            <idx val="0"/>
            <spPr>
              <a:solidFill xmlns:a="http://schemas.openxmlformats.org/drawingml/2006/main">
                <a:srgbClr val="A3A29C"/>
              </a:solidFill>
              <a:ln xmlns:a="http://schemas.openxmlformats.org/drawingml/2006/main">
                <a:solidFill>
                  <a:srgbClr val="A3A29C"/>
                </a:solidFill>
                <a:prstDash val="solid"/>
              </a:ln>
            </spPr>
          </dPt>
          <dPt>
            <idx val="1"/>
            <spPr>
              <a:solidFill xmlns:a="http://schemas.openxmlformats.org/drawingml/2006/main">
                <a:srgbClr val="2A78D6"/>
              </a:solidFill>
              <a:ln xmlns:a="http://schemas.openxmlformats.org/drawingml/2006/main">
                <a:solidFill>
                  <a:srgbClr val="2A78D6"/>
                </a:solidFill>
                <a:prstDash val="solid"/>
              </a:ln>
            </spPr>
          </dPt>
          <dPt>
            <idx val="2"/>
            <spPr>
              <a:solidFill xmlns:a="http://schemas.openxmlformats.org/drawingml/2006/main">
                <a:srgbClr val="EB6834"/>
              </a:solidFill>
              <a:ln xmlns:a="http://schemas.openxmlformats.org/drawingml/2006/main">
                <a:solidFill>
                  <a:srgbClr val="EB6834"/>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Lbls>
            <numFmt formatCode="&quot;$&quot;#,##0&quot;B&quot;"/>
            <showLegendKey val="0"/>
            <showVal val="1"/>
            <showCatName val="0"/>
            <showSerName val="0"/>
            <showPercent val="0"/>
          </dLbls>
          <cat>
            <numRef>
              <f>'Value Bridge'!$A$66:$A$69</f>
            </numRef>
          </cat>
          <val>
            <numRef>
              <f>'Value Bridge'!$G$66:$G$69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Change in the FY2026 saving, $B (teal = Helarctos lever, gray = market &amp; company data)</a:t>
            </a:r>
          </a:p>
        </rich>
      </tx>
    </title>
    <plotArea>
      <barChart>
        <barDir val="bar"/>
        <grouping val="clustered"/>
        <ser>
          <idx val="0"/>
          <order val="0"/>
          <tx>
            <v>Low case</v>
          </tx>
          <spPr>
            <a:ln xmlns:a="http://schemas.openxmlformats.org/drawingml/2006/main">
              <a:prstDash val="solid"/>
            </a:ln>
          </spPr>
          <dPt>
            <idx val="1"/>
            <spPr>
              <a:solidFill xmlns:a="http://schemas.openxmlformats.org/drawingml/2006/main">
                <a:srgbClr val="1BAF7A"/>
              </a:solidFill>
              <a:ln xmlns:a="http://schemas.openxmlformats.org/drawingml/2006/main">
                <a:solidFill>
                  <a:srgbClr val="1BAF7A"/>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Pt>
            <idx val="4"/>
            <spPr>
              <a:solidFill xmlns:a="http://schemas.openxmlformats.org/drawingml/2006/main">
                <a:srgbClr val="1BAF7A"/>
              </a:solidFill>
              <a:ln xmlns:a="http://schemas.openxmlformats.org/drawingml/2006/main">
                <a:solidFill>
                  <a:srgbClr val="1BAF7A"/>
                </a:solidFill>
                <a:prstDash val="solid"/>
              </a:ln>
            </spPr>
          </dPt>
          <dPt>
            <idx val="5"/>
            <spPr>
              <a:solidFill xmlns:a="http://schemas.openxmlformats.org/drawingml/2006/main">
                <a:srgbClr val="1BAF7A"/>
              </a:solidFill>
              <a:ln xmlns:a="http://schemas.openxmlformats.org/drawingml/2006/main">
                <a:solidFill>
                  <a:srgbClr val="1BAF7A"/>
                </a:solidFill>
                <a:prstDash val="solid"/>
              </a:ln>
            </spPr>
          </dPt>
          <dPt>
            <idx val="7"/>
            <spPr>
              <a:solidFill xmlns:a="http://schemas.openxmlformats.org/drawingml/2006/main">
                <a:srgbClr val="A3A29C"/>
              </a:solidFill>
              <a:ln xmlns:a="http://schemas.openxmlformats.org/drawingml/2006/main">
                <a:solidFill>
                  <a:srgbClr val="A3A29C"/>
                </a:solidFill>
                <a:prstDash val="solid"/>
              </a:ln>
            </spPr>
          </dPt>
          <dPt>
            <idx val="8"/>
            <spPr>
              <a:solidFill xmlns:a="http://schemas.openxmlformats.org/drawingml/2006/main">
                <a:srgbClr val="A3A29C"/>
              </a:solidFill>
              <a:ln xmlns:a="http://schemas.openxmlformats.org/drawingml/2006/main">
                <a:solidFill>
                  <a:srgbClr val="A3A29C"/>
                </a:solidFill>
                <a:prstDash val="solid"/>
              </a:ln>
            </spPr>
          </dPt>
          <dPt>
            <idx val="9"/>
            <spPr>
              <a:solidFill xmlns:a="http://schemas.openxmlformats.org/drawingml/2006/main">
                <a:srgbClr val="A3A29C"/>
              </a:solidFill>
              <a:ln xmlns:a="http://schemas.openxmlformats.org/drawingml/2006/main">
                <a:solidFill>
                  <a:srgbClr val="A3A29C"/>
                </a:solidFill>
                <a:prstDash val="solid"/>
              </a:ln>
            </spPr>
          </dPt>
          <dPt>
            <idx val="10"/>
            <spPr>
              <a:solidFill xmlns:a="http://schemas.openxmlformats.org/drawingml/2006/main">
                <a:srgbClr val="A3A29C"/>
              </a:solidFill>
              <a:ln xmlns:a="http://schemas.openxmlformats.org/drawingml/2006/main">
                <a:solidFill>
                  <a:srgbClr val="A3A29C"/>
                </a:solidFill>
                <a:prstDash val="solid"/>
              </a:ln>
            </spPr>
          </dPt>
          <dPt>
            <idx val="11"/>
            <spPr>
              <a:solidFill xmlns:a="http://schemas.openxmlformats.org/drawingml/2006/main">
                <a:srgbClr val="A3A29C"/>
              </a:solidFill>
              <a:ln xmlns:a="http://schemas.openxmlformats.org/drawingml/2006/main">
                <a:solidFill>
                  <a:srgbClr val="A3A29C"/>
                </a:solidFill>
                <a:prstDash val="solid"/>
              </a:ln>
            </spPr>
          </dPt>
          <dPt>
            <idx val="12"/>
            <spPr>
              <a:solidFill xmlns:a="http://schemas.openxmlformats.org/drawingml/2006/main">
                <a:srgbClr val="A3A29C"/>
              </a:solidFill>
              <a:ln xmlns:a="http://schemas.openxmlformats.org/drawingml/2006/main">
                <a:solidFill>
                  <a:srgbClr val="A3A29C"/>
                </a:solidFill>
                <a:prstDash val="solid"/>
              </a:ln>
            </spPr>
          </dPt>
          <dPt>
            <idx val="13"/>
            <spPr>
              <a:solidFill xmlns:a="http://schemas.openxmlformats.org/drawingml/2006/main">
                <a:srgbClr val="A3A29C"/>
              </a:solidFill>
              <a:ln xmlns:a="http://schemas.openxmlformats.org/drawingml/2006/main">
                <a:solidFill>
                  <a:srgbClr val="A3A29C"/>
                </a:solidFill>
                <a:prstDash val="solid"/>
              </a:ln>
            </spPr>
          </dPt>
          <dPt>
            <idx val="14"/>
            <spPr>
              <a:solidFill xmlns:a="http://schemas.openxmlformats.org/drawingml/2006/main">
                <a:srgbClr val="A3A29C"/>
              </a:solidFill>
              <a:ln xmlns:a="http://schemas.openxmlformats.org/drawingml/2006/main">
                <a:solidFill>
                  <a:srgbClr val="A3A29C"/>
                </a:solidFill>
                <a:prstDash val="solid"/>
              </a:ln>
            </spPr>
          </dPt>
          <dPt>
            <idx val="15"/>
            <spPr>
              <a:solidFill xmlns:a="http://schemas.openxmlformats.org/drawingml/2006/main">
                <a:srgbClr val="A3A29C"/>
              </a:solidFill>
              <a:ln xmlns:a="http://schemas.openxmlformats.org/drawingml/2006/main">
                <a:solidFill>
                  <a:srgbClr val="A3A29C"/>
                </a:solidFill>
                <a:prstDash val="solid"/>
              </a:ln>
            </spPr>
          </dPt>
          <dLbls>
            <numFmt formatCode="+&quot;$&quot;#,##0&quot;B&quot;;-&quot;$&quot;#,##0&quot;B&quot;;&quot;$0&quot;"/>
            <showLegendKey val="0"/>
            <showVal val="1"/>
            <showCatName val="0"/>
            <showSerName val="0"/>
            <showPercent val="0"/>
          </dLbls>
          <cat>
            <numRef>
              <f>'What Matters'!$B$5:$B$20</f>
            </numRef>
          </cat>
          <val>
            <numRef>
              <f>'What Matters'!$E$5:$E$20</f>
            </numRef>
          </val>
        </ser>
        <ser>
          <idx val="1"/>
          <order val="1"/>
          <tx>
            <v>High case</v>
          </tx>
          <spPr>
            <a:ln xmlns:a="http://schemas.openxmlformats.org/drawingml/2006/main">
              <a:prstDash val="solid"/>
            </a:ln>
          </spPr>
          <dPt>
            <idx val="1"/>
            <spPr>
              <a:solidFill xmlns:a="http://schemas.openxmlformats.org/drawingml/2006/main">
                <a:srgbClr val="1BAF7A"/>
              </a:solidFill>
              <a:ln xmlns:a="http://schemas.openxmlformats.org/drawingml/2006/main">
                <a:solidFill>
                  <a:srgbClr val="1BAF7A"/>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Pt>
            <idx val="4"/>
            <spPr>
              <a:solidFill xmlns:a="http://schemas.openxmlformats.org/drawingml/2006/main">
                <a:srgbClr val="1BAF7A"/>
              </a:solidFill>
              <a:ln xmlns:a="http://schemas.openxmlformats.org/drawingml/2006/main">
                <a:solidFill>
                  <a:srgbClr val="1BAF7A"/>
                </a:solidFill>
                <a:prstDash val="solid"/>
              </a:ln>
            </spPr>
          </dPt>
          <dPt>
            <idx val="5"/>
            <spPr>
              <a:solidFill xmlns:a="http://schemas.openxmlformats.org/drawingml/2006/main">
                <a:srgbClr val="1BAF7A"/>
              </a:solidFill>
              <a:ln xmlns:a="http://schemas.openxmlformats.org/drawingml/2006/main">
                <a:solidFill>
                  <a:srgbClr val="1BAF7A"/>
                </a:solidFill>
                <a:prstDash val="solid"/>
              </a:ln>
            </spPr>
          </dPt>
          <dPt>
            <idx val="7"/>
            <spPr>
              <a:solidFill xmlns:a="http://schemas.openxmlformats.org/drawingml/2006/main">
                <a:srgbClr val="A3A29C"/>
              </a:solidFill>
              <a:ln xmlns:a="http://schemas.openxmlformats.org/drawingml/2006/main">
                <a:solidFill>
                  <a:srgbClr val="A3A29C"/>
                </a:solidFill>
                <a:prstDash val="solid"/>
              </a:ln>
            </spPr>
          </dPt>
          <dPt>
            <idx val="8"/>
            <spPr>
              <a:solidFill xmlns:a="http://schemas.openxmlformats.org/drawingml/2006/main">
                <a:srgbClr val="A3A29C"/>
              </a:solidFill>
              <a:ln xmlns:a="http://schemas.openxmlformats.org/drawingml/2006/main">
                <a:solidFill>
                  <a:srgbClr val="A3A29C"/>
                </a:solidFill>
                <a:prstDash val="solid"/>
              </a:ln>
            </spPr>
          </dPt>
          <dPt>
            <idx val="9"/>
            <spPr>
              <a:solidFill xmlns:a="http://schemas.openxmlformats.org/drawingml/2006/main">
                <a:srgbClr val="A3A29C"/>
              </a:solidFill>
              <a:ln xmlns:a="http://schemas.openxmlformats.org/drawingml/2006/main">
                <a:solidFill>
                  <a:srgbClr val="A3A29C"/>
                </a:solidFill>
                <a:prstDash val="solid"/>
              </a:ln>
            </spPr>
          </dPt>
          <dPt>
            <idx val="10"/>
            <spPr>
              <a:solidFill xmlns:a="http://schemas.openxmlformats.org/drawingml/2006/main">
                <a:srgbClr val="A3A29C"/>
              </a:solidFill>
              <a:ln xmlns:a="http://schemas.openxmlformats.org/drawingml/2006/main">
                <a:solidFill>
                  <a:srgbClr val="A3A29C"/>
                </a:solidFill>
                <a:prstDash val="solid"/>
              </a:ln>
            </spPr>
          </dPt>
          <dPt>
            <idx val="11"/>
            <spPr>
              <a:solidFill xmlns:a="http://schemas.openxmlformats.org/drawingml/2006/main">
                <a:srgbClr val="A3A29C"/>
              </a:solidFill>
              <a:ln xmlns:a="http://schemas.openxmlformats.org/drawingml/2006/main">
                <a:solidFill>
                  <a:srgbClr val="A3A29C"/>
                </a:solidFill>
                <a:prstDash val="solid"/>
              </a:ln>
            </spPr>
          </dPt>
          <dPt>
            <idx val="12"/>
            <spPr>
              <a:solidFill xmlns:a="http://schemas.openxmlformats.org/drawingml/2006/main">
                <a:srgbClr val="A3A29C"/>
              </a:solidFill>
              <a:ln xmlns:a="http://schemas.openxmlformats.org/drawingml/2006/main">
                <a:solidFill>
                  <a:srgbClr val="A3A29C"/>
                </a:solidFill>
                <a:prstDash val="solid"/>
              </a:ln>
            </spPr>
          </dPt>
          <dPt>
            <idx val="13"/>
            <spPr>
              <a:solidFill xmlns:a="http://schemas.openxmlformats.org/drawingml/2006/main">
                <a:srgbClr val="A3A29C"/>
              </a:solidFill>
              <a:ln xmlns:a="http://schemas.openxmlformats.org/drawingml/2006/main">
                <a:solidFill>
                  <a:srgbClr val="A3A29C"/>
                </a:solidFill>
                <a:prstDash val="solid"/>
              </a:ln>
            </spPr>
          </dPt>
          <dPt>
            <idx val="14"/>
            <spPr>
              <a:solidFill xmlns:a="http://schemas.openxmlformats.org/drawingml/2006/main">
                <a:srgbClr val="A3A29C"/>
              </a:solidFill>
              <a:ln xmlns:a="http://schemas.openxmlformats.org/drawingml/2006/main">
                <a:solidFill>
                  <a:srgbClr val="A3A29C"/>
                </a:solidFill>
                <a:prstDash val="solid"/>
              </a:ln>
            </spPr>
          </dPt>
          <dPt>
            <idx val="15"/>
            <spPr>
              <a:solidFill xmlns:a="http://schemas.openxmlformats.org/drawingml/2006/main">
                <a:srgbClr val="A3A29C"/>
              </a:solidFill>
              <a:ln xmlns:a="http://schemas.openxmlformats.org/drawingml/2006/main">
                <a:solidFill>
                  <a:srgbClr val="A3A29C"/>
                </a:solidFill>
                <a:prstDash val="solid"/>
              </a:ln>
            </spPr>
          </dPt>
          <dLbls>
            <numFmt formatCode="+&quot;$&quot;#,##0&quot;B&quot;;-&quot;$&quot;#,##0&quot;B&quot;;&quot;$0&quot;"/>
            <showLegendKey val="0"/>
            <showVal val="1"/>
            <showCatName val="0"/>
            <showSerName val="0"/>
            <showPercent val="0"/>
          </dLbls>
          <cat>
            <numRef>
              <f>'What Matters'!$B$5:$B$20</f>
            </numRef>
          </cat>
          <val>
            <numRef>
              <f>'What Matters'!$G$5:$G$20</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4</col>
      <colOff>0</colOff>
      <row>5</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45</row>
      <rowOff>0</rowOff>
    </from>
    <ext cx="6840000" cy="151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71</row>
      <rowOff>0</rowOff>
    </from>
    <ext cx="68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21</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tabColor rgb="000B2545"/>
    <outlinePr summaryBelow="1" summaryRight="1"/>
    <pageSetUpPr/>
  </sheetPr>
  <dimension ref="A1:I83"/>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 width="15" customWidth="1" min="9" max="9"/>
  </cols>
  <sheetData>
    <row r="1" ht="30" customHeight="1">
      <c r="A1" s="1" t="inlineStr">
        <is>
          <t>HELARCTOS × AI CAPEX — the AI spend a more efficient architecture makes unnecessary</t>
        </is>
      </c>
      <c r="B1" s="2" t="n"/>
      <c r="C1" s="2" t="n"/>
      <c r="D1" s="2" t="n"/>
      <c r="E1" s="2" t="n"/>
      <c r="F1" s="2" t="n"/>
      <c r="G1" s="2" t="n"/>
      <c r="H1" s="2" t="n"/>
      <c r="I1" s="2" t="n"/>
    </row>
    <row r="2" ht="63" customHeight="1">
      <c r="A2" s="3">
        <f>"In FY2026 Microsoft, Alphabet, Amazon, Meta, Oracle and SpaceX will spend ~$"&amp;TEXT('Value Bridge'!M102,"#,##0")&amp;"B on AI, with AI revenue of ~$"&amp;TEXT('Value Bridge'!O102,"#,##0")&amp;"B. Helarctos models do the same AI work — training and inference at the same quality — on far fewer GPUs, and the servers and data centres sized by those GPUs shrink with them. This page shows how much of that spend becomes unnecessary, and which Hel"&amp;"arctos levers drive it. AI spend = property &amp; equipment additions (chips, servers, data centres) plus electricity; no labor."</f>
        <v/>
      </c>
    </row>
    <row r="3">
      <c r="A3" s="4">
        <f>"Scenario: "&amp;Scenario&amp;"  (◆ switch it on the Levers tab, cell C4)  ·  262k-token average conversation  ·  data centres "&amp;IF(DCFollow&gt;=1,"follow the fleet (headline basis)","HELD — leases contracted to FY33 (sensitivity)")&amp;"  ·  $B per year unless stated"</f>
        <v/>
      </c>
    </row>
    <row r="4"/>
    <row r="5" ht="20" customHeight="1">
      <c r="A5" s="5" t="inlineStr">
        <is>
          <t>THE HEADLINE</t>
        </is>
      </c>
      <c r="B5" s="6" t="n"/>
      <c r="C5" s="6" t="n"/>
      <c r="D5" s="6" t="n"/>
      <c r="E5" s="6" t="n"/>
      <c r="F5" s="6" t="n"/>
      <c r="G5" s="6" t="n"/>
      <c r="H5" s="6" t="n"/>
      <c r="I5" s="6" t="n"/>
    </row>
    <row r="6" ht="33" customHeight="1">
      <c r="A6" s="7" t="inlineStr"/>
      <c r="B6" s="8" t="inlineStr">
        <is>
          <t>FY2026</t>
        </is>
      </c>
      <c r="C6" s="8" t="inlineStr">
        <is>
          <t>FY2025 (last year)</t>
        </is>
      </c>
    </row>
    <row r="7" ht="33" customHeight="1">
      <c r="A7" s="9" t="inlineStr">
        <is>
          <t>AI spend: chips, servers, data centres, power (P&amp;E additions + electricity; no labor)</t>
        </is>
      </c>
      <c r="B7" s="10">
        <f>'Value Bridge'!M102</f>
        <v/>
      </c>
      <c r="C7" s="10">
        <f>'Value Bridge'!M112</f>
        <v/>
      </c>
    </row>
    <row r="8" ht="22" customHeight="1">
      <c r="A8" s="9" t="inlineStr">
        <is>
          <t>…of which AI chips (GPUs, TPUs)</t>
        </is>
      </c>
      <c r="B8" s="10">
        <f>'Value Bridge'!B102</f>
        <v/>
      </c>
      <c r="C8" s="10">
        <f>'Value Bridge'!B112</f>
        <v/>
      </c>
    </row>
    <row r="9" ht="22" customHeight="1">
      <c r="A9" s="9" t="inlineStr">
        <is>
          <t>…of which the servers around them</t>
        </is>
      </c>
      <c r="B9" s="10">
        <f>'Value Bridge'!R102</f>
        <v/>
      </c>
      <c r="C9" s="10">
        <f>'Value Bridge'!R112</f>
        <v/>
      </c>
    </row>
    <row r="10" ht="33" customHeight="1">
      <c r="A10" s="9" t="inlineStr">
        <is>
          <t>…of which data centres (buildings, power &amp; cooling, network)</t>
        </is>
      </c>
      <c r="B10" s="10">
        <f>'Value Bridge'!S102</f>
        <v/>
      </c>
      <c r="C10" s="10">
        <f>'Value Bridge'!S112</f>
        <v/>
      </c>
    </row>
    <row r="11" ht="22" customHeight="1">
      <c r="A11" s="9" t="inlineStr">
        <is>
          <t>AI revenue</t>
        </is>
      </c>
      <c r="B11" s="10">
        <f>'Value Bridge'!O102</f>
        <v/>
      </c>
      <c r="C11" s="10">
        <f>'Value Bridge'!O112</f>
        <v/>
      </c>
    </row>
    <row r="12" ht="22" customHeight="1">
      <c r="A12" s="9" t="inlineStr">
        <is>
          <t>Net AI cash result today</t>
        </is>
      </c>
      <c r="B12" s="10">
        <f>'Value Bridge'!P102</f>
        <v/>
      </c>
      <c r="C12" s="10">
        <f>'Value Bridge'!P112</f>
        <v/>
      </c>
    </row>
    <row r="13" ht="33" customHeight="1">
      <c r="A13" s="11" t="inlineStr">
        <is>
          <t>Spend Helarctos makes unnecessary, per year</t>
        </is>
      </c>
      <c r="B13" s="12">
        <f>'Value Bridge'!L102</f>
        <v/>
      </c>
      <c r="C13" s="12">
        <f>'Value Bridge'!L112</f>
        <v/>
      </c>
    </row>
    <row r="14" ht="22" customHeight="1">
      <c r="A14" s="9" t="inlineStr">
        <is>
          <t>…AI chips and their power</t>
        </is>
      </c>
      <c r="B14" s="10">
        <f>'Value Bridge'!H102+'Value Bridge'!J102+'Value Bridge'!K102</f>
        <v/>
      </c>
      <c r="C14" s="10">
        <f>'Value Bridge'!H112+'Value Bridge'!J112+'Value Bridge'!K112</f>
        <v/>
      </c>
    </row>
    <row r="15" ht="33" customHeight="1">
      <c r="A15" s="9" t="inlineStr">
        <is>
          <t>…the servers around those chips — follow the fleet</t>
        </is>
      </c>
      <c r="B15" s="10">
        <f>'Value Bridge'!T102</f>
        <v/>
      </c>
      <c r="C15" s="10">
        <f>'Value Bridge'!T112</f>
        <v/>
      </c>
    </row>
    <row r="16" ht="33" customHeight="1">
      <c r="A16" s="9" t="inlineStr">
        <is>
          <t>…data centres — follow the fleet / held (Levers C6)</t>
        </is>
      </c>
      <c r="B16" s="10">
        <f>'Value Bridge'!U102</f>
        <v/>
      </c>
      <c r="C16" s="10">
        <f>'Value Bridge'!U112</f>
        <v/>
      </c>
    </row>
    <row r="17" ht="22" customHeight="1">
      <c r="A17" s="9" t="inlineStr">
        <is>
          <t>…as a share of all AI spend</t>
        </is>
      </c>
      <c r="B17" s="13">
        <f>'Value Bridge'!N102</f>
        <v/>
      </c>
      <c r="C17" s="13">
        <f>'Value Bridge'!N112</f>
        <v/>
      </c>
    </row>
    <row r="18" ht="22" customHeight="1">
      <c r="A18" s="9" t="inlineStr">
        <is>
          <t>Net AI cash result with Helarctos</t>
        </is>
      </c>
      <c r="B18" s="10">
        <f>'Value Bridge'!Q102</f>
        <v/>
      </c>
      <c r="C18" s="10">
        <f>'Value Bridge'!Q112</f>
        <v/>
      </c>
    </row>
    <row r="19" ht="33" customHeight="1">
      <c r="A19" s="9" t="inlineStr">
        <is>
          <t>Yearly saving, capitalized at the discount rate</t>
        </is>
      </c>
      <c r="B19" s="14">
        <f>'Value Bridge'!L102/Inputs!$B$6/1000</f>
        <v/>
      </c>
      <c r="C19" s="14">
        <f>'Value Bridge'!L112/Inputs!$B$6/1000</f>
        <v/>
      </c>
    </row>
    <row r="20"/>
    <row r="21" ht="20" customHeight="1">
      <c r="A21" s="5" t="inlineStr">
        <is>
          <t>CURRENT KERNELS → OPTIMIZED KERNELS: what changes, and what it does to the bill</t>
        </is>
      </c>
      <c r="B21" s="6" t="n"/>
      <c r="C21" s="6" t="n"/>
      <c r="D21" s="6" t="n"/>
      <c r="E21" s="6" t="n"/>
      <c r="F21" s="6" t="n"/>
      <c r="G21" s="6" t="n"/>
      <c r="H21" s="6" t="n"/>
      <c r="I21" s="6" t="n"/>
    </row>
    <row r="22" ht="63" customHeight="1">
      <c r="A22" s="7" t="inlineStr"/>
      <c r="B22" s="8" t="inlineStr">
        <is>
          <t>Current kernels (measured)</t>
        </is>
      </c>
      <c r="C22" s="8" t="inlineStr">
        <is>
          <t>Optimized kernels (funded programme, TARGET)</t>
        </is>
      </c>
    </row>
    <row r="23" ht="18" customHeight="1">
      <c r="A23" s="9" t="inlineStr">
        <is>
          <t>H3 · training speed per token, same size</t>
        </is>
      </c>
      <c r="B23" s="15">
        <f>Levers!$D$11</f>
        <v/>
      </c>
      <c r="C23" s="15">
        <f>Levers!$E$11</f>
        <v/>
      </c>
    </row>
    <row r="24" ht="18" customHeight="1">
      <c r="A24" s="9" t="inlineStr">
        <is>
          <t>Training GPU-hour lever (H1 × H2 × H3)</t>
        </is>
      </c>
      <c r="B24" s="16">
        <f>SmallerModel*FewerTokens*Levers!$D$11</f>
        <v/>
      </c>
      <c r="C24" s="16">
        <f>SmallerModel*FewerTokens*Levers!$E$11</f>
        <v/>
      </c>
    </row>
    <row r="25" ht="33" customHeight="1">
      <c r="A25" s="9" t="inlineStr">
        <is>
          <t>Prompt-processing speed vs the transformer (supporting)</t>
        </is>
      </c>
      <c r="B25" s="17">
        <f>Inputs!$B$24</f>
        <v/>
      </c>
      <c r="C25" s="17">
        <f>Inputs!$B$25</f>
        <v/>
      </c>
    </row>
    <row r="26" ht="33" customHeight="1">
      <c r="A26" s="9" t="inlineStr">
        <is>
          <t>Inference compute lever (tokens per GPU at equal size × size factor)</t>
        </is>
      </c>
      <c r="B26" s="18">
        <f>(1+Inputs!$B$32)/(Inputs!$B$32/Inputs!$B$24+1/(Inputs!$B$28*Inputs!$B$29))*Inputs!$B$33</f>
        <v/>
      </c>
      <c r="C26" s="18">
        <f>(1+Inputs!$B$32)/(Inputs!$B$32/Inputs!$B$25+1/(Inputs!$B$28*Inputs!$B$29))*Inputs!$B$33</f>
        <v/>
      </c>
    </row>
    <row r="27" ht="33" customHeight="1">
      <c r="A27" s="9" t="inlineStr">
        <is>
          <t>Training-fleet GPUs after (FY2026, GPU-equivalents)</t>
        </is>
      </c>
      <c r="B27" s="19">
        <f>'Value Bridge'!$B$15/(SmallerModel*FewerTokens*Levers!$D$11)*1000000000/Inputs!$B$7</f>
        <v/>
      </c>
      <c r="C27" s="19">
        <f>'Value Bridge'!$B$15/(SmallerModel*FewerTokens*Levers!$E$11)*1000000000/Inputs!$B$7</f>
        <v/>
      </c>
    </row>
    <row r="28" ht="33" customHeight="1">
      <c r="A28" s="9" t="inlineStr">
        <is>
          <t>Inference-fleet GPUs after (FY2026, GPU-equivalents)</t>
        </is>
      </c>
      <c r="B28" s="19">
        <f>'Value Bridge'!$B$16/MIN(MemoryLever,(1+Inputs!$B$32)/(Inputs!$B$32/Inputs!$B$24+1/(Inputs!$B$28*Inputs!$B$29))*Inputs!$B$33)*1000000000/Inputs!$B$7</f>
        <v/>
      </c>
      <c r="C28" s="19">
        <f>'Value Bridge'!$B$16/MIN(MemoryLever,(1+Inputs!$B$32)/(Inputs!$B$32/Inputs!$B$25+1/(Inputs!$B$28*Inputs!$B$29))*Inputs!$B$33)*1000000000/Inputs!$B$7</f>
        <v/>
      </c>
    </row>
    <row r="29" ht="48" customHeight="1">
      <c r="A29" s="11" t="inlineStr">
        <is>
          <t>Spend made unnecessary, FY2026 (static at the build defaults; the live cells above follow the picker)</t>
        </is>
      </c>
      <c r="B29" s="20" t="n">
        <v>774.1494653624206</v>
      </c>
      <c r="C29" s="20" t="n">
        <v>777.3625628522243</v>
      </c>
    </row>
    <row r="30" ht="48" customHeight="1">
      <c r="A30" s="21">
        <f>"The bill barely moves between scenarios because the chip fleet already shrinks ~"&amp;TEXT(1/(1-'Value Bridge'!$C$44),"#,##0")&amp;"× (1 ÷ (1 − the "&amp;TEXT('Value Bridge'!$C$44,"0.0%")&amp;" fleet cut)): once that is a few hundred ×, kernel maturity changes the multiple, not the dollars — the remaining bill is the servers and buildings that cannot shrink below one per site plus power. Active scenario: "&amp;Scenario&amp;"."</f>
        <v/>
      </c>
    </row>
    <row r="31"/>
    <row r="32" ht="20" customHeight="1">
      <c r="A32" s="5" t="inlineStr">
        <is>
          <t>FY2026 SAVING BY FLEET — adds to the headline above</t>
        </is>
      </c>
      <c r="B32" s="6" t="n"/>
      <c r="C32" s="6" t="n"/>
      <c r="D32" s="6" t="n"/>
      <c r="E32" s="6" t="n"/>
      <c r="F32" s="6" t="n"/>
      <c r="G32" s="6" t="n"/>
      <c r="H32" s="6" t="n"/>
      <c r="I32" s="6" t="n"/>
    </row>
    <row r="33" ht="33" customHeight="1">
      <c r="A33" s="21" t="inlineStr">
        <is>
          <t>A subordinate view of the one headline. Each fleet's figure includes its chips, their power, and its share of the servers and data centres that follow the fleet — attributed by how much of the chip saving each fleet produced (the model's attribution; Value Bridge columns V/W).</t>
        </is>
      </c>
    </row>
    <row r="34" ht="18" customHeight="1">
      <c r="A34" s="7" t="inlineStr">
        <is>
          <t>Fleet / Helarctos lever</t>
        </is>
      </c>
      <c r="B34" s="8" t="inlineStr">
        <is>
          <t>$B per year</t>
        </is>
      </c>
      <c r="C34" s="8" t="inlineStr">
        <is>
          <t>Share</t>
        </is>
      </c>
      <c r="D34" s="8" t="inlineStr">
        <is>
          <t>Lever</t>
        </is>
      </c>
      <c r="E34" s="8" t="inlineStr">
        <is>
          <t>How it works</t>
        </is>
      </c>
      <c r="F34" s="22" t="n"/>
      <c r="G34" s="22" t="n"/>
      <c r="H34" s="22" t="n"/>
      <c r="I34" s="23" t="n"/>
    </row>
    <row r="35" ht="48" customHeight="1">
      <c r="A35" s="9" t="inlineStr">
        <is>
          <t>Training fleet (chips + power + its share of the followed servers and data centres)</t>
        </is>
      </c>
      <c r="B35" s="10">
        <f>'Value Bridge'!V102</f>
        <v/>
      </c>
      <c r="C35" s="13">
        <f>B35/$B$44</f>
        <v/>
      </c>
      <c r="D35" s="16">
        <f>TrainLever</f>
        <v/>
      </c>
      <c r="E35" s="21">
        <f>"H1 × H2 × H3 = ~"&amp;TEXT(TrainLever,"0")&amp;"× fewer GPU-hours per training run, so training clusters can be that much smaller. The GPUs never bought are capex avoided; their power is saved every year."</f>
        <v/>
      </c>
    </row>
    <row r="36" ht="48" customHeight="1">
      <c r="A36" s="24" t="inlineStr">
        <is>
          <t xml:space="preserve">    H1 · Smaller model for the same quality ★</t>
        </is>
      </c>
      <c r="B36" s="25" t="n"/>
      <c r="C36" s="25" t="n"/>
      <c r="D36" s="26">
        <f>SmallerModel</f>
        <v/>
      </c>
      <c r="E36" s="21" t="inlineStr">
        <is>
          <t>Same quality with ~24% of the parameters (projected from models we trained) — also multiplies inference: a smaller model costs proportionally less per token.</t>
        </is>
      </c>
    </row>
    <row r="37" ht="18" customHeight="1">
      <c r="A37" s="24" t="inlineStr">
        <is>
          <t xml:space="preserve">    H2 · Fewer training tokens</t>
        </is>
      </c>
      <c r="B37" s="25" t="n"/>
      <c r="C37" s="25" t="n"/>
      <c r="D37" s="27">
        <f>FewerTokens</f>
        <v/>
      </c>
      <c r="E37" s="21" t="inlineStr">
        <is>
          <t>Compute-optimal training needs data in proportion to model size.</t>
        </is>
      </c>
    </row>
    <row r="38" ht="48" customHeight="1">
      <c r="A38" s="24" t="inlineStr">
        <is>
          <t xml:space="preserve">    H3 · Training speed per token (same model size) ◆</t>
        </is>
      </c>
      <c r="B38" s="25" t="n"/>
      <c r="C38" s="25" t="n"/>
      <c r="D38" s="15">
        <f>TrainSpeed</f>
        <v/>
      </c>
      <c r="E38" s="21" t="inlineStr">
        <is>
          <t>Faster per token at the same size over a modern 8k/64k/256k curriculum (×2.22 MEASURED step costs, illustrative curriculum shares; ×3.97 fused-kernel TARGET under Optimized kernels).</t>
        </is>
      </c>
    </row>
    <row r="39" ht="63" customHeight="1">
      <c r="A39" s="9" t="inlineStr">
        <is>
          <t>Inference fleet (chips + power + its share of the followed servers and data centres)</t>
        </is>
      </c>
      <c r="B39" s="10">
        <f>'Value Bridge'!W102</f>
        <v/>
      </c>
      <c r="C39" s="13">
        <f>B39/$B$44</f>
        <v/>
      </c>
      <c r="D39" s="18">
        <f>ServeGPULever</f>
        <v/>
      </c>
      <c r="E39" s="21">
        <f>"Tokens per GPU at equal size rise ~"&amp;TEXT(EqualSizeTokens,"0")&amp;"× (H5 × H6, with prompts added back) × the ×"&amp;TEXT(Inputs!$B$33,"0.00")&amp;" smaller equal-quality model (H1) = ×"&amp;TEXT(ServeComputeLever,"#,##0")&amp;". A GPU is bought whole, so the inference fleet shrinks by the smaller of memory and that: ~"&amp;TEXT(ServeGPULever,"#,##0")&amp;"× fewer GPUs, plus the power they would draw."</f>
        <v/>
      </c>
    </row>
    <row r="40" ht="33" customHeight="1">
      <c r="A40" s="24" t="inlineStr">
        <is>
          <t xml:space="preserve">    H4 · Memory per live conversation</t>
        </is>
      </c>
      <c r="B40" s="25" t="n"/>
      <c r="C40" s="25" t="n"/>
      <c r="D40" s="28">
        <f>MemoryLever</f>
        <v/>
      </c>
      <c r="E40" s="21" t="inlineStr">
        <is>
          <t>Fixed-size state instead of a memory that grows with every token (measured ×2,032 at 262k on our test model).</t>
        </is>
      </c>
    </row>
    <row r="41" ht="48" customHeight="1">
      <c r="A41" s="24" t="inlineStr">
        <is>
          <t xml:space="preserve">    H5 · More conversations per GPU</t>
        </is>
      </c>
      <c r="B41" s="25" t="n"/>
      <c r="C41" s="25" t="n"/>
      <c r="D41" s="18">
        <f>MoreConversations</f>
        <v/>
      </c>
      <c r="E41" s="21" t="inlineStr">
        <is>
          <t>256 resident 262k-token conversations per GPU where a transformer fits 1 (measured per layer, 2026-10-01 decode receipt, at a ~90-layer frontier geometry with grouped-query attention (4 KB of cache per token per layer)).</t>
        </is>
      </c>
    </row>
    <row r="42" ht="93" customHeight="1">
      <c r="A42" s="24" t="inlineStr">
        <is>
          <t xml:space="preserve">    H6 · Decode step vs the transformer, per layer</t>
        </is>
      </c>
      <c r="B42" s="25" t="n"/>
      <c r="C42" s="25" t="n"/>
      <c r="D42" s="27">
        <f>FasterDecode</f>
        <v/>
      </c>
      <c r="E42" s="21" t="inlineStr">
        <is>
          <t>Per-step decode time ratio vs the transformer (measured per layer; both per-layer steps measured including their feed-forward blocks — ours as written and uncompiled, so the ratio is a floor). Per decode step the transformer's single long-context stream is still faster than our 256-stream step (x0.74, i.e. our step is 1.35x longer); the gain is H5 — 256 conversations advance per step instead of 1.</t>
        </is>
      </c>
    </row>
    <row r="43" ht="78" customHeight="1">
      <c r="A43" s="9" t="inlineStr">
        <is>
          <t>↳ of which: the servers and data centres that follow the fleet (inside both fleets above)</t>
        </is>
      </c>
      <c r="B43" s="10">
        <f>'Value Bridge'!T102+'Value Bridge'!U102</f>
        <v/>
      </c>
      <c r="C43" s="13">
        <f>B43/$B$44</f>
        <v/>
      </c>
      <c r="D43" s="29">
        <f>-'Value Bridge'!C44</f>
        <v/>
      </c>
      <c r="E43" s="21">
        <f>IF(DCFollow&gt;=1,"Servers $"&amp;TEXT('Value Bridge'!T102,"#,##0")&amp;"B + data centres $"&amp;TEXT('Value Bridge'!U102,"#,##0")&amp;"B: both are sized by the GPUs, so they fall with the blended chip-fleet cut (Levers C34 / C6); set C6 to 0 to hold the data centres (leases to FY33).","Servers $"&amp;TEXT('Value Bridge'!T102,"#,##0")&amp;"B; data centres HELD (leases contracted to FY33 — set Levers C6 to 1 to let them follow).")&amp;" Attributed to training / inference by each fleet's share of the chip saving."</f>
        <v/>
      </c>
    </row>
    <row r="44" ht="33" customHeight="1">
      <c r="A44" s="30" t="inlineStr">
        <is>
          <t>TOTAL — the headline</t>
        </is>
      </c>
      <c r="B44" s="31">
        <f>B35+B39</f>
        <v/>
      </c>
      <c r="C44" s="32">
        <f>C35+C39</f>
        <v/>
      </c>
      <c r="D44" s="33" t="n"/>
      <c r="E44" s="21" t="inlineStr">
        <is>
          <t>the headline above (Value Bridge column L). Step-by-step build and the one-lever-at-a-time view: Value Bridge tab.</t>
        </is>
      </c>
    </row>
    <row r="45">
      <c r="A45" s="34" t="inlineStr">
        <is>
          <t>FY2026</t>
        </is>
      </c>
    </row>
    <row r="46"/>
    <row r="47"/>
    <row r="48"/>
    <row r="49"/>
    <row r="50"/>
    <row r="51"/>
    <row r="52"/>
    <row r="53"/>
    <row r="54"/>
    <row r="55" ht="20" customHeight="1">
      <c r="A55" s="5" t="inlineStr">
        <is>
          <t>BY COMPANY — FY2026, $B per year</t>
        </is>
      </c>
      <c r="B55" s="6" t="n"/>
      <c r="C55" s="6" t="n"/>
      <c r="D55" s="6" t="n"/>
      <c r="E55" s="6" t="n"/>
      <c r="F55" s="6" t="n"/>
      <c r="G55" s="6" t="n"/>
      <c r="H55" s="6" t="n"/>
      <c r="I55" s="6" t="n"/>
    </row>
    <row r="56" ht="33" customHeight="1">
      <c r="A56" s="7" t="inlineStr">
        <is>
          <t>Company</t>
        </is>
      </c>
      <c r="B56" s="8" t="inlineStr">
        <is>
          <t>AI spend</t>
        </is>
      </c>
      <c r="C56" s="8" t="inlineStr">
        <is>
          <t>Training saving</t>
        </is>
      </c>
      <c r="D56" s="8" t="inlineStr">
        <is>
          <t>Inference saving</t>
        </is>
      </c>
      <c r="E56" s="8" t="inlineStr">
        <is>
          <t>Servers &amp; data centres</t>
        </is>
      </c>
      <c r="F56" s="8" t="inlineStr">
        <is>
          <t>Total saving</t>
        </is>
      </c>
      <c r="G56" s="8" t="inlineStr">
        <is>
          <t>% of AI spend</t>
        </is>
      </c>
      <c r="H56" s="8" t="inlineStr">
        <is>
          <t>Net AI today</t>
        </is>
      </c>
      <c r="I56" s="8" t="inlineStr">
        <is>
          <t>Net AI with Helarctos</t>
        </is>
      </c>
    </row>
    <row r="57">
      <c r="A57" s="35" t="inlineStr">
        <is>
          <t>Microsoft</t>
        </is>
      </c>
      <c r="B57" s="10">
        <f>'Value Bridge'!M96</f>
        <v/>
      </c>
      <c r="C57" s="10">
        <f>'Value Bridge'!F96+'Value Bridge'!J96</f>
        <v/>
      </c>
      <c r="D57" s="10">
        <f>'Value Bridge'!G96+'Value Bridge'!K96</f>
        <v/>
      </c>
      <c r="E57" s="10">
        <f>'Value Bridge'!T96+'Value Bridge'!U96</f>
        <v/>
      </c>
      <c r="F57" s="20">
        <f>'Value Bridge'!L96</f>
        <v/>
      </c>
      <c r="G57" s="13">
        <f>'Value Bridge'!N96</f>
        <v/>
      </c>
      <c r="H57" s="10">
        <f>'Value Bridge'!P96</f>
        <v/>
      </c>
      <c r="I57" s="10">
        <f>'Value Bridge'!Q96</f>
        <v/>
      </c>
    </row>
    <row r="58">
      <c r="A58" s="35" t="inlineStr">
        <is>
          <t>Alphabet</t>
        </is>
      </c>
      <c r="B58" s="10">
        <f>'Value Bridge'!M97</f>
        <v/>
      </c>
      <c r="C58" s="10">
        <f>'Value Bridge'!F97+'Value Bridge'!J97</f>
        <v/>
      </c>
      <c r="D58" s="10">
        <f>'Value Bridge'!G97+'Value Bridge'!K97</f>
        <v/>
      </c>
      <c r="E58" s="10">
        <f>'Value Bridge'!T97+'Value Bridge'!U97</f>
        <v/>
      </c>
      <c r="F58" s="20">
        <f>'Value Bridge'!L97</f>
        <v/>
      </c>
      <c r="G58" s="13">
        <f>'Value Bridge'!N97</f>
        <v/>
      </c>
      <c r="H58" s="10">
        <f>'Value Bridge'!P97</f>
        <v/>
      </c>
      <c r="I58" s="10">
        <f>'Value Bridge'!Q97</f>
        <v/>
      </c>
    </row>
    <row r="59">
      <c r="A59" s="35" t="inlineStr">
        <is>
          <t>Amazon</t>
        </is>
      </c>
      <c r="B59" s="10">
        <f>'Value Bridge'!M98</f>
        <v/>
      </c>
      <c r="C59" s="10">
        <f>'Value Bridge'!F98+'Value Bridge'!J98</f>
        <v/>
      </c>
      <c r="D59" s="10">
        <f>'Value Bridge'!G98+'Value Bridge'!K98</f>
        <v/>
      </c>
      <c r="E59" s="10">
        <f>'Value Bridge'!T98+'Value Bridge'!U98</f>
        <v/>
      </c>
      <c r="F59" s="20">
        <f>'Value Bridge'!L98</f>
        <v/>
      </c>
      <c r="G59" s="13">
        <f>'Value Bridge'!N98</f>
        <v/>
      </c>
      <c r="H59" s="10">
        <f>'Value Bridge'!P98</f>
        <v/>
      </c>
      <c r="I59" s="10">
        <f>'Value Bridge'!Q98</f>
        <v/>
      </c>
    </row>
    <row r="60">
      <c r="A60" s="35" t="inlineStr">
        <is>
          <t>Meta</t>
        </is>
      </c>
      <c r="B60" s="10">
        <f>'Value Bridge'!M99</f>
        <v/>
      </c>
      <c r="C60" s="10">
        <f>'Value Bridge'!F99+'Value Bridge'!J99</f>
        <v/>
      </c>
      <c r="D60" s="10">
        <f>'Value Bridge'!G99+'Value Bridge'!K99</f>
        <v/>
      </c>
      <c r="E60" s="10">
        <f>'Value Bridge'!T99+'Value Bridge'!U99</f>
        <v/>
      </c>
      <c r="F60" s="20">
        <f>'Value Bridge'!L99</f>
        <v/>
      </c>
      <c r="G60" s="13">
        <f>'Value Bridge'!N99</f>
        <v/>
      </c>
      <c r="H60" s="10">
        <f>'Value Bridge'!P99</f>
        <v/>
      </c>
      <c r="I60" s="10">
        <f>'Value Bridge'!Q99</f>
        <v/>
      </c>
    </row>
    <row r="61">
      <c r="A61" s="35" t="inlineStr">
        <is>
          <t>Oracle</t>
        </is>
      </c>
      <c r="B61" s="10">
        <f>'Value Bridge'!M100</f>
        <v/>
      </c>
      <c r="C61" s="10">
        <f>'Value Bridge'!F100+'Value Bridge'!J100</f>
        <v/>
      </c>
      <c r="D61" s="10">
        <f>'Value Bridge'!G100+'Value Bridge'!K100</f>
        <v/>
      </c>
      <c r="E61" s="10">
        <f>'Value Bridge'!T100+'Value Bridge'!U100</f>
        <v/>
      </c>
      <c r="F61" s="20">
        <f>'Value Bridge'!L100</f>
        <v/>
      </c>
      <c r="G61" s="13">
        <f>'Value Bridge'!N100</f>
        <v/>
      </c>
      <c r="H61" s="10">
        <f>'Value Bridge'!P100</f>
        <v/>
      </c>
      <c r="I61" s="10">
        <f>'Value Bridge'!Q100</f>
        <v/>
      </c>
    </row>
    <row r="62">
      <c r="A62" s="35" t="inlineStr">
        <is>
          <t>SpaceX</t>
        </is>
      </c>
      <c r="B62" s="10">
        <f>'Value Bridge'!M101</f>
        <v/>
      </c>
      <c r="C62" s="10">
        <f>'Value Bridge'!F101+'Value Bridge'!J101</f>
        <v/>
      </c>
      <c r="D62" s="10">
        <f>'Value Bridge'!G101+'Value Bridge'!K101</f>
        <v/>
      </c>
      <c r="E62" s="10">
        <f>'Value Bridge'!T101+'Value Bridge'!U101</f>
        <v/>
      </c>
      <c r="F62" s="20">
        <f>'Value Bridge'!L101</f>
        <v/>
      </c>
      <c r="G62" s="13">
        <f>'Value Bridge'!N101</f>
        <v/>
      </c>
      <c r="H62" s="10">
        <f>'Value Bridge'!P101</f>
        <v/>
      </c>
      <c r="I62" s="10">
        <f>'Value Bridge'!Q101</f>
        <v/>
      </c>
    </row>
    <row r="63">
      <c r="A63" s="30" t="inlineStr">
        <is>
          <t>TOTAL (6)</t>
        </is>
      </c>
      <c r="B63" s="31">
        <f>'Value Bridge'!M102</f>
        <v/>
      </c>
      <c r="C63" s="31">
        <f>'Value Bridge'!F102+'Value Bridge'!J102</f>
        <v/>
      </c>
      <c r="D63" s="31">
        <f>'Value Bridge'!G102+'Value Bridge'!K102</f>
        <v/>
      </c>
      <c r="E63" s="31">
        <f>'Value Bridge'!T102+'Value Bridge'!U102</f>
        <v/>
      </c>
      <c r="F63" s="31">
        <f>'Value Bridge'!L102</f>
        <v/>
      </c>
      <c r="G63" s="32">
        <f>'Value Bridge'!N102</f>
        <v/>
      </c>
      <c r="H63" s="31">
        <f>'Value Bridge'!P102</f>
        <v/>
      </c>
      <c r="I63" s="31">
        <f>'Value Bridge'!Q102</f>
        <v/>
      </c>
    </row>
    <row r="64"/>
    <row r="65" ht="20" customHeight="1">
      <c r="A65" s="5" t="inlineStr">
        <is>
          <t>WHY ~99% OF THE CHIP BILL — NOT "1,000×"</t>
        </is>
      </c>
      <c r="B65" s="6" t="n"/>
      <c r="C65" s="6" t="n"/>
      <c r="D65" s="6" t="n"/>
      <c r="E65" s="6" t="n"/>
      <c r="F65" s="6" t="n"/>
      <c r="G65" s="6" t="n"/>
      <c r="H65" s="6" t="n"/>
      <c r="I65" s="6" t="n"/>
    </row>
    <row r="66" ht="78" customHeight="1">
      <c r="A66" s="3">
        <f>"Multiples don't multiply. A GPU is bought whole, so the inference fleet shrinks by whichever need falls least (×"&amp;TEXT(ServeGPULever,"#,##0")&amp;"), never by memory × tokens per GPU ("&amp;TEXT(MemoryLever,"#,##0")&amp;" × "&amp;TEXT(ServeComputeLever,"#,##0")&amp;"). The compute side is itself a product that does not multiply the dollars further: tokens per GPU at equal size (×"&amp;TEXT(EqualSizeTokens,"#,##0")&amp;", H5 × H6 with prompts) × the ×"&amp;TEXT(Inputs!$B$33,"0.00")&amp;" smaller equal-quality model (H1 — it costs proportionally less per token in inference as in training). Cutting a fleet "&amp;TEXT(ServeGPULever,"#,##0")&amp;"× already removes over 99% of it; bigger multiples only move the last fraction of a percent. So the dollars are set by how much these firms spend on chips, and on the servers and data centres sized by those chips — which is why this workbook reports "&amp;"dollars."</f>
        <v/>
      </c>
    </row>
    <row r="67"/>
    <row r="68" ht="20" customHeight="1">
      <c r="A68" s="5" t="inlineStr">
        <is>
          <t>HOW TO READ THIS WORKBOOK</t>
        </is>
      </c>
      <c r="B68" s="6" t="n"/>
      <c r="C68" s="6" t="n"/>
      <c r="D68" s="6" t="n"/>
      <c r="E68" s="6" t="n"/>
      <c r="F68" s="6" t="n"/>
      <c r="G68" s="6" t="n"/>
      <c r="H68" s="6" t="n"/>
      <c r="I68" s="6" t="n"/>
    </row>
    <row r="69" ht="33" customHeight="1">
      <c r="A69" s="24" t="inlineStr">
        <is>
          <t>H1–H6  Helarctos lever</t>
        </is>
      </c>
      <c r="B69" s="3" t="inlineStr">
        <is>
          <t>One of the six things the Helarctos architecture changes. Every other input is market, company or modelling data.</t>
        </is>
      </c>
    </row>
    <row r="70" ht="18" customHeight="1">
      <c r="A70" s="36" t="inlineStr">
        <is>
          <t>Assumption</t>
        </is>
      </c>
      <c r="B70" s="3" t="inlineStr">
        <is>
          <t>A market, company or modelling assumption you can edit (not about Helarctos).</t>
        </is>
      </c>
    </row>
    <row r="71" ht="18" customHeight="1">
      <c r="A71" s="37" t="inlineStr">
        <is>
          <t>Disclosed data</t>
        </is>
      </c>
      <c r="B71" s="3" t="inlineStr">
        <is>
          <t>From company filings or market data.</t>
        </is>
      </c>
    </row>
    <row r="72" ht="18" customHeight="1">
      <c r="A72" s="38" t="inlineStr">
        <is>
          <t>Formula</t>
        </is>
      </c>
      <c r="B72" s="3" t="inlineStr">
        <is>
          <t>Calculated live — don't overtype.</t>
        </is>
      </c>
    </row>
    <row r="73" ht="18" customHeight="1">
      <c r="A73" s="39" t="inlineStr">
        <is>
          <t>◆ Differs by scenario</t>
        </is>
      </c>
      <c r="B73" s="3" t="inlineStr">
        <is>
          <t>The only cells that change between Current kernels and Optimized kernels (switch: Levers C4).</t>
        </is>
      </c>
    </row>
    <row r="74" ht="18" customHeight="1">
      <c r="A74" s="40" t="inlineStr">
        <is>
          <t>★ High impact</t>
        </is>
      </c>
      <c r="B74" s="3" t="inlineStr">
        <is>
          <t>Moves the FY2026 saving by $10B or more (What Matters tab).</t>
        </is>
      </c>
    </row>
    <row r="75"/>
    <row r="76" ht="18" customHeight="1">
      <c r="A76" s="41" t="inlineStr">
        <is>
          <t>Summary</t>
        </is>
      </c>
      <c r="B76" s="3" t="inlineStr">
        <is>
          <t>This page: the headline, where the saving comes from, and by company.</t>
        </is>
      </c>
    </row>
    <row r="77" ht="33" customHeight="1">
      <c r="A77" s="41" t="inlineStr">
        <is>
          <t>Value Bridge</t>
        </is>
      </c>
      <c r="B77" s="3" t="inlineStr">
        <is>
          <t>Step by step from AI spend to the saving; the levers switched on one at a time; the servers and data centres that follow the fleet.</t>
        </is>
      </c>
    </row>
    <row r="78" ht="33" customHeight="1">
      <c r="A78" s="41" t="inlineStr">
        <is>
          <t>Levers</t>
        </is>
      </c>
      <c r="B78" s="3" t="inlineStr">
        <is>
          <t>The six Helarctos levers, how sure we are of each, the scenario switch, the datacenter follow switch, and the market &amp; company data the front tabs use.</t>
        </is>
      </c>
    </row>
    <row r="79" ht="18" customHeight="1">
      <c r="A79" s="41" t="inlineStr">
        <is>
          <t>What Matters</t>
        </is>
      </c>
      <c r="B79" s="3" t="inlineStr">
        <is>
          <t>Which inputs move the answer and by how much — Helarctos levers vs market data.</t>
        </is>
      </c>
    </row>
    <row r="80" ht="33" customHeight="1">
      <c r="A80" s="41" t="inlineStr">
        <is>
          <t>Microsoft / Alphabet / Amazon / Meta / Oracle / SpaceX</t>
        </is>
      </c>
      <c r="B80" s="3" t="inlineStr">
        <is>
          <t>Each company's capex build from its filings.</t>
        </is>
      </c>
    </row>
    <row r="81" ht="33" customHeight="1">
      <c r="A81" s="41" t="inlineStr">
        <is>
          <t>Technical appendix</t>
        </is>
      </c>
      <c r="B81" s="3" t="inlineStr">
        <is>
          <t>Totals, Inputs, Sensitivity, CostLadder, ServingTraining, Evidence, Methodology — the engineering ledger behind the levers.</t>
        </is>
      </c>
    </row>
    <row r="82"/>
    <row r="83" ht="48" customHeight="1">
      <c r="A83" s="21" t="inlineStr">
        <is>
          <t>Cash basis. FY2026 = company guidance. AI spend = property &amp; equipment additions (AI chips, the servers around them, data-centre buildings, power &amp; cooling, network) plus electricity — no labor. The servers and data centres sized by the GPUs follow the fleet by default (2026-10-01); holding the data centres (leases contracted to FY33) is the sensitivity (Levers C6). Not investment advice.</t>
        </is>
      </c>
    </row>
  </sheetData>
  <mergeCells count="29">
    <mergeCell ref="E43:I43"/>
    <mergeCell ref="A66:I66"/>
    <mergeCell ref="E42:I42"/>
    <mergeCell ref="B81:I81"/>
    <mergeCell ref="B72:I72"/>
    <mergeCell ref="A3:I3"/>
    <mergeCell ref="E39:I39"/>
    <mergeCell ref="B71:I71"/>
    <mergeCell ref="E44:I44"/>
    <mergeCell ref="B70:I70"/>
    <mergeCell ref="A33:I33"/>
    <mergeCell ref="A2:I2"/>
    <mergeCell ref="E35:I35"/>
    <mergeCell ref="B77:I77"/>
    <mergeCell ref="E38:I38"/>
    <mergeCell ref="E40:I40"/>
    <mergeCell ref="B73:I73"/>
    <mergeCell ref="E34:I34"/>
    <mergeCell ref="B78:I78"/>
    <mergeCell ref="B69:I69"/>
    <mergeCell ref="E36:I36"/>
    <mergeCell ref="A83:I83"/>
    <mergeCell ref="A30:I30"/>
    <mergeCell ref="B74:I74"/>
    <mergeCell ref="E41:I41"/>
    <mergeCell ref="B80:I80"/>
    <mergeCell ref="B76:I76"/>
    <mergeCell ref="E37:I37"/>
    <mergeCell ref="B79:I7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W1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 width="14" customWidth="1" min="18" max="18"/>
    <col width="14" customWidth="1" min="19" max="19"/>
    <col width="13" customWidth="1" min="20" max="20"/>
    <col width="13" customWidth="1" min="21" max="21"/>
    <col width="14" customWidth="1" min="22" max="22"/>
    <col width="14" customWidth="1" min="23" max="23"/>
  </cols>
  <sheetData>
    <row r="1" ht="30" customHeight="1">
      <c r="A1" s="1" t="inlineStr">
        <is>
          <t>VALUE BRIDGE — from AI spend to the Helarctos saving, step by step (FY2026)</t>
        </is>
      </c>
      <c r="B1" s="2" t="n"/>
      <c r="C1" s="2" t="n"/>
      <c r="D1" s="2" t="n"/>
      <c r="E1" s="2" t="n"/>
      <c r="F1" s="2" t="n"/>
      <c r="G1" s="2" t="n"/>
      <c r="H1" s="2" t="n"/>
      <c r="I1" s="2" t="n"/>
    </row>
    <row r="2" ht="33" customHeight="1">
      <c r="A2" s="3" t="inlineStr">
        <is>
          <t>Read top to bottom. Teal rows are the Helarctos levers (edit them on the Levers and Inputs tabs); blue cells are live formulas. 'AI spend' = property &amp; equipment additions (chips, the servers around them, data-centre buildings, power &amp; cooling, network) plus electricity — no labor.</t>
        </is>
      </c>
    </row>
    <row r="3"/>
    <row r="4" ht="20" customHeight="1">
      <c r="A4" s="5" t="inlineStr">
        <is>
          <t>STEP 1 — What the six companies spend on AI this year (P&amp;E additions + electricity; no labor)</t>
        </is>
      </c>
      <c r="B4" s="6" t="n"/>
      <c r="C4" s="6" t="n"/>
      <c r="D4" s="6" t="n"/>
      <c r="E4" s="6" t="n"/>
      <c r="F4" s="6" t="n"/>
      <c r="G4" s="6" t="n"/>
      <c r="H4" s="6" t="n"/>
      <c r="I4" s="6" t="n"/>
    </row>
    <row r="5" ht="18" customHeight="1">
      <c r="A5" s="3" t="inlineStr">
        <is>
          <t>Total capex, all purposes</t>
        </is>
      </c>
      <c r="B5" s="10">
        <f>'Microsoft'!$B$3+'Alphabet'!$B$3+'Amazon'!$B$3+'Meta'!$B$3+'Oracle'!$B$3+'SpaceX'!$B$3</f>
        <v/>
      </c>
      <c r="D5" s="21" t="inlineStr">
        <is>
          <t>Company filings and guidance (company tabs, row 3).</t>
        </is>
      </c>
    </row>
    <row r="6" ht="18" customHeight="1">
      <c r="A6" s="3" t="inlineStr">
        <is>
          <t>AI data-centre capex</t>
        </is>
      </c>
      <c r="B6" s="10">
        <f>'Microsoft'!$B$10+'Alphabet'!$B$10+'Amazon'!$B$10+'Meta'!$B$10+'Oracle'!$B$10+'SpaceX'!$B$10</f>
        <v/>
      </c>
      <c r="D6" s="21" t="inlineStr">
        <is>
          <t>Strips non-data-centre spend (e.g. Amazon retail logistics).</t>
        </is>
      </c>
    </row>
    <row r="7" ht="18" customHeight="1">
      <c r="A7" s="41" t="inlineStr">
        <is>
          <t>…of which AI chips (GPUs, TPUs)</t>
        </is>
      </c>
      <c r="B7" s="20">
        <f>B102</f>
        <v/>
      </c>
      <c r="D7" s="21" t="inlineStr">
        <is>
          <t>The part the Helarctos levers act on directly.</t>
        </is>
      </c>
    </row>
    <row r="8" ht="33" customHeight="1">
      <c r="A8" s="3" t="inlineStr">
        <is>
          <t>…of which the servers around them (CPUs, chassis, networking)</t>
        </is>
      </c>
      <c r="B8" s="10">
        <f>R102</f>
        <v/>
      </c>
      <c r="D8" s="21" t="inlineStr">
        <is>
          <t>The rest of the server bucket; sized by the accelerator count — follows the fleet (Levers C34).</t>
        </is>
      </c>
    </row>
    <row r="9" ht="33" customHeight="1">
      <c r="A9" s="3" t="inlineStr">
        <is>
          <t>…of which data centres (buildings, power &amp; cooling, network)</t>
        </is>
      </c>
      <c r="B9" s="10">
        <f>S102</f>
        <v/>
      </c>
      <c r="D9" s="21" t="inlineStr">
        <is>
          <t>Sized by the GPUs they house — follows the fleet by default (Levers C6; 0 = held, leases contracted to FY33).</t>
        </is>
      </c>
    </row>
    <row r="10" ht="18" customHeight="1">
      <c r="A10" s="3" t="inlineStr">
        <is>
          <t>Power &amp; operations for those chips, per year</t>
        </is>
      </c>
      <c r="B10" s="42">
        <f>I102</f>
        <v/>
      </c>
      <c r="D10" s="21" t="inlineStr">
        <is>
          <t>Electricity; always follows the fleet.</t>
        </is>
      </c>
    </row>
    <row r="11" ht="18" customHeight="1">
      <c r="A11" s="3" t="inlineStr">
        <is>
          <t>AI revenue</t>
        </is>
      </c>
      <c r="B11" s="10">
        <f>O102</f>
        <v/>
      </c>
      <c r="D11" s="21" t="inlineStr">
        <is>
          <t>Disclosed run-rates (Microsoft, Amazon) or estimates (others).</t>
        </is>
      </c>
    </row>
    <row r="12" ht="18" customHeight="1">
      <c r="A12" s="41" t="inlineStr">
        <is>
          <t>Net AI cash result today</t>
        </is>
      </c>
      <c r="B12" s="20">
        <f>P102</f>
        <v/>
      </c>
      <c r="D12" s="21" t="inlineStr">
        <is>
          <t>AI revenue − AI capex − power. All six are losing money on AI today.</t>
        </is>
      </c>
    </row>
    <row r="13"/>
    <row r="14" ht="20" customHeight="1">
      <c r="A14" s="5" t="inlineStr">
        <is>
          <t>STEP 2 — Split the chip fleet by what it does</t>
        </is>
      </c>
      <c r="B14" s="6" t="n"/>
      <c r="C14" s="6" t="n"/>
      <c r="D14" s="6" t="n"/>
      <c r="E14" s="6" t="n"/>
      <c r="F14" s="6" t="n"/>
      <c r="G14" s="6" t="n"/>
      <c r="H14" s="6" t="n"/>
      <c r="I14" s="6" t="n"/>
    </row>
    <row r="15" ht="18" customHeight="1">
      <c r="A15" s="3" t="inlineStr">
        <is>
          <t>Training fleet — builds new models</t>
        </is>
      </c>
      <c r="B15" s="10">
        <f>D102</f>
        <v/>
      </c>
      <c r="C15" s="13">
        <f>B15/B7</f>
        <v/>
      </c>
      <c r="D15" s="21" t="inlineStr">
        <is>
          <t>Per-company estimates, 25–55% (Levers tab); chip-weighted average shown.</t>
        </is>
      </c>
    </row>
    <row r="16" ht="18" customHeight="1">
      <c r="A16" s="3" t="inlineStr">
        <is>
          <t>Inference fleet — answers users</t>
        </is>
      </c>
      <c r="B16" s="10">
        <f>E102</f>
        <v/>
      </c>
      <c r="C16" s="13">
        <f>B16/B7</f>
        <v/>
      </c>
    </row>
    <row r="17"/>
    <row r="18" ht="20" customHeight="1">
      <c r="A18" s="5" t="inlineStr">
        <is>
          <t>STEP 3 — TRAINING: a smaller model, fewer tokens, faster per token → smaller training clusters</t>
        </is>
      </c>
      <c r="B18" s="6" t="n"/>
      <c r="C18" s="6" t="n"/>
      <c r="D18" s="6" t="n"/>
      <c r="E18" s="6" t="n"/>
      <c r="F18" s="6" t="n"/>
      <c r="G18" s="6" t="n"/>
      <c r="H18" s="6" t="n"/>
      <c r="I18" s="6" t="n"/>
    </row>
    <row r="19" ht="18" customHeight="1">
      <c r="A19" s="3" t="inlineStr">
        <is>
          <t>Training fleet capex today</t>
        </is>
      </c>
      <c r="B19" s="10">
        <f>B15</f>
        <v/>
      </c>
    </row>
    <row r="20" ht="18" customHeight="1">
      <c r="A20" s="24" t="inlineStr">
        <is>
          <t>H1 · Smaller model for the same quality ★</t>
        </is>
      </c>
      <c r="C20" s="26">
        <f>SmallerModel</f>
        <v/>
      </c>
      <c r="D20" s="21" t="inlineStr">
        <is>
          <t>Same quality with a fraction of the parameters (projected).</t>
        </is>
      </c>
    </row>
    <row r="21" ht="18" customHeight="1">
      <c r="A21" s="24" t="inlineStr">
        <is>
          <t>H2 · Fewer training tokens</t>
        </is>
      </c>
      <c r="C21" s="27">
        <f>FewerTokens</f>
        <v/>
      </c>
      <c r="D21" s="21" t="inlineStr">
        <is>
          <t>A smaller model needs proportionally fewer training tokens.</t>
        </is>
      </c>
    </row>
    <row r="22" ht="48" customHeight="1">
      <c r="A22" s="24" t="inlineStr">
        <is>
          <t>H3 · Training speed per token (same model size) ◆</t>
        </is>
      </c>
      <c r="C22" s="15">
        <f>TrainSpeed</f>
        <v/>
      </c>
      <c r="D22" s="21" t="inlineStr">
        <is>
          <t>Faster per token at the same size over a modern 8k/64k/256k curriculum (×2.22 MEASURED step costs, illustrative curriculum shares; ×3.97 fused-kernel TARGET under Optimized kernels).</t>
        </is>
      </c>
    </row>
    <row r="23" ht="18" customHeight="1">
      <c r="A23" s="43" t="inlineStr">
        <is>
          <t>GPU-hours per training run fall by</t>
        </is>
      </c>
      <c r="C23" s="44">
        <f>TrainLever</f>
        <v/>
      </c>
      <c r="D23" s="21" t="inlineStr">
        <is>
          <t>H1 × H2 × H3</t>
        </is>
      </c>
    </row>
    <row r="24" ht="18" customHeight="1">
      <c r="A24" s="3" t="inlineStr">
        <is>
          <t>Training fleet needed with Helarctos</t>
        </is>
      </c>
      <c r="B24" s="10">
        <f>B19/C23</f>
        <v/>
      </c>
    </row>
    <row r="25" ht="18" customHeight="1">
      <c r="A25" s="3" t="inlineStr">
        <is>
          <t>Training capex avoided</t>
        </is>
      </c>
      <c r="B25" s="10">
        <f>B19-B24</f>
        <v/>
      </c>
    </row>
    <row r="26" ht="33" customHeight="1">
      <c r="A26" s="3" t="inlineStr">
        <is>
          <t>+ power &amp; operations those GPUs would have drawn</t>
        </is>
      </c>
      <c r="B26" s="42">
        <f>J102</f>
        <v/>
      </c>
      <c r="D26" s="21" t="inlineStr">
        <is>
          <t>Power scales with the fleet.</t>
        </is>
      </c>
    </row>
    <row r="27" ht="33" customHeight="1">
      <c r="A27" s="41" t="inlineStr">
        <is>
          <t>TRAINING SAVING (chips + power)</t>
        </is>
      </c>
      <c r="B27" s="20">
        <f>B25+B26</f>
        <v/>
      </c>
      <c r="D27" s="21">
        <f>"Labs size training clusters to the GPU-hours their runs need: ~"&amp;TEXT(TrainLever,"0")&amp;"× fewer GPU-hours means a cluster ~"&amp;TEXT(TrainLever,"0")&amp;"× smaller for the same programme."</f>
        <v/>
      </c>
    </row>
    <row r="28"/>
    <row r="29" ht="20" customHeight="1">
      <c r="A29" s="5" t="inlineStr">
        <is>
          <t>STEP 4 — INFERENCE: small memory → more conversations per GPU, more conversations advancing per decode step, on a smaller model → fewer GPUs</t>
        </is>
      </c>
      <c r="B29" s="6" t="n"/>
      <c r="C29" s="6" t="n"/>
      <c r="D29" s="6" t="n"/>
      <c r="E29" s="6" t="n"/>
      <c r="F29" s="6" t="n"/>
      <c r="G29" s="6" t="n"/>
      <c r="H29" s="6" t="n"/>
      <c r="I29" s="6" t="n"/>
    </row>
    <row r="30" ht="18" customHeight="1">
      <c r="A30" s="3" t="inlineStr">
        <is>
          <t>Inference fleet capex today</t>
        </is>
      </c>
      <c r="B30" s="10">
        <f>B16</f>
        <v/>
      </c>
    </row>
    <row r="31" ht="18" customHeight="1">
      <c r="A31" s="24" t="inlineStr">
        <is>
          <t>H4 · Memory per live conversation</t>
        </is>
      </c>
      <c r="C31" s="28">
        <f>MemoryLever</f>
        <v/>
      </c>
      <c r="D31" s="21" t="inlineStr">
        <is>
          <t>Fixed-size state instead of a memory that grows with every token.</t>
        </is>
      </c>
    </row>
    <row r="32" ht="48" customHeight="1">
      <c r="A32" s="24" t="inlineStr">
        <is>
          <t>H5 · More conversations per GPU</t>
        </is>
      </c>
      <c r="C32" s="18">
        <f>MoreConversations</f>
        <v/>
      </c>
      <c r="D32" s="21" t="inlineStr">
        <is>
          <t>256 resident 262k-token conversations per GPU where a transformer fits 1 (measured per layer, 2026-10-01 decode receipt, at a ~90-layer frontier geometry with grouped-query attention (4 KB of cache per token per layer)).</t>
        </is>
      </c>
    </row>
    <row r="33" ht="78" customHeight="1">
      <c r="A33" s="24" t="inlineStr">
        <is>
          <t>H6 · Decode step vs the transformer, per layer</t>
        </is>
      </c>
      <c r="C33" s="27">
        <f>FasterDecode</f>
        <v/>
      </c>
      <c r="D33" s="21" t="inlineStr">
        <is>
          <t>Per-step decode time ratio, transformer at its feasible batch over ours (measured per layer; both per-layer steps measured including their feed-forward blocks — ours as written and uncompiled, so the ratio is a floor). Per decode step the transformer's single long-context stream is still faster than our 256-stream step (x0.74, i.e. our step is 1.35x longer); the gain is H5 — 256 conversations advance per step instead of 1.</t>
        </is>
      </c>
    </row>
    <row r="34" ht="33" customHeight="1">
      <c r="A34" s="3" t="inlineStr">
        <is>
          <t>Tokens per GPU at EQUAL model size, H5 × H6 with prompt processing added back</t>
        </is>
      </c>
      <c r="C34" s="18">
        <f>EqualSizeTokens</f>
        <v/>
      </c>
      <c r="D34" s="21" t="inlineStr">
        <is>
          <t>Prompts are ~0.2% of a transformer's time at 262k (supporting prompt-processing speed, Levers tab).</t>
        </is>
      </c>
    </row>
    <row r="35" ht="33" customHeight="1">
      <c r="A35" s="3" t="inlineStr">
        <is>
          <t>× the smaller equal-quality model (H1) — the inference size factor</t>
        </is>
      </c>
      <c r="C35" s="27">
        <f>Inputs!$B$33</f>
        <v/>
      </c>
      <c r="D35" s="21" t="inlineStr">
        <is>
          <t>A model with ~24% of the parameters costs proportionally less per token; applied to inference as to training (2026-10-01, Inputs B33).</t>
        </is>
      </c>
    </row>
    <row r="36">
      <c r="A36" s="43" t="inlineStr">
        <is>
          <t>Inference compute lever</t>
        </is>
      </c>
      <c r="C36" s="45">
        <f>ServeComputeLever</f>
        <v/>
      </c>
    </row>
    <row r="37" ht="48" customHeight="1">
      <c r="A37" s="41" t="inlineStr">
        <is>
          <t>Inference GPUs needed fall by (the smaller of memory and the compute lever)</t>
        </is>
      </c>
      <c r="C37" s="45">
        <f>ServeGPULever</f>
        <v/>
      </c>
      <c r="D37" s="21" t="inlineStr">
        <is>
          <t>A GPU is bought whole — memory and compute together — so the fleet covers whichever runs out first. Here the compute lever binds, so faster decode (H6) and the size factor count in the dollars.</t>
        </is>
      </c>
    </row>
    <row r="38">
      <c r="A38" s="46" t="inlineStr">
        <is>
          <t>Inference fleet needed with Helarctos</t>
        </is>
      </c>
      <c r="B38" s="42">
        <f>B30/C37</f>
        <v/>
      </c>
    </row>
    <row r="39" ht="18" customHeight="1">
      <c r="A39" s="3" t="inlineStr">
        <is>
          <t>Inference capex avoided</t>
        </is>
      </c>
      <c r="B39" s="10">
        <f>B30-B38</f>
        <v/>
      </c>
    </row>
    <row r="40" ht="33" customHeight="1">
      <c r="A40" s="3" t="inlineStr">
        <is>
          <t>+ power &amp; operations those GPUs would have drawn</t>
        </is>
      </c>
      <c r="B40" s="42">
        <f>K102</f>
        <v/>
      </c>
      <c r="D40" s="21" t="inlineStr">
        <is>
          <t>Power scales with the fleet.</t>
        </is>
      </c>
    </row>
    <row r="41" ht="18" customHeight="1">
      <c r="A41" s="41" t="inlineStr">
        <is>
          <t>INFERENCE SAVING (chips + power)</t>
        </is>
      </c>
      <c r="B41" s="20">
        <f>B39+B40</f>
        <v/>
      </c>
    </row>
    <row r="42"/>
    <row r="43" ht="20" customHeight="1">
      <c r="A43" s="5" t="inlineStr">
        <is>
          <t>STEP 5 — The servers and data centres sized by those GPUs follow the fleet</t>
        </is>
      </c>
      <c r="B43" s="6" t="n"/>
      <c r="C43" s="6" t="n"/>
      <c r="D43" s="6" t="n"/>
      <c r="E43" s="6" t="n"/>
      <c r="F43" s="6" t="n"/>
      <c r="G43" s="6" t="n"/>
      <c r="H43" s="6" t="n"/>
      <c r="I43" s="6" t="n"/>
    </row>
    <row r="44" ht="48" customHeight="1">
      <c r="A44" s="41" t="inlineStr">
        <is>
          <t>Chip fleet cut (training and inference blended)</t>
        </is>
      </c>
      <c r="C44" s="47">
        <f>(B25+B39)/B7</f>
        <v/>
      </c>
      <c r="D44" s="21" t="inlineStr">
        <is>
          <t>Chip capex avoided ÷ chip capex today. The data centres are a hybrid of training and serving, so the same blend applies to them (2026-10-01 ruling: they scale down when no longer necessary).</t>
        </is>
      </c>
    </row>
    <row r="45" ht="18" customHeight="1">
      <c r="A45" s="3" t="inlineStr">
        <is>
          <t>Servers around the chips today</t>
        </is>
      </c>
      <c r="B45" s="10">
        <f>B8</f>
        <v/>
      </c>
    </row>
    <row r="46" ht="18" customHeight="1">
      <c r="A46" s="46" t="inlineStr">
        <is>
          <t>…follow the fleet (Levers C34)</t>
        </is>
      </c>
      <c r="C46" s="48">
        <f>ServersFollow</f>
        <v/>
      </c>
      <c r="D46" s="21" t="inlineStr">
        <is>
          <t>Fraction of the bucket that scales with the accelerator count (1 = follows, 0 = held).</t>
        </is>
      </c>
    </row>
    <row r="47" ht="18" customHeight="1">
      <c r="A47" s="3" t="inlineStr">
        <is>
          <t>Servers saved</t>
        </is>
      </c>
      <c r="B47" s="10">
        <f>T102</f>
        <v/>
      </c>
    </row>
    <row r="48" ht="33" customHeight="1">
      <c r="A48" s="3" t="inlineStr">
        <is>
          <t>Data centres today (buildings, power &amp; cooling, network)</t>
        </is>
      </c>
      <c r="B48" s="10">
        <f>B9</f>
        <v/>
      </c>
    </row>
    <row r="49" ht="33" customHeight="1">
      <c r="A49" s="46" t="inlineStr">
        <is>
          <t>…follow the fleet (Levers C6)</t>
        </is>
      </c>
      <c r="C49" s="48">
        <f>DCFollow</f>
        <v/>
      </c>
      <c r="D49" s="21" t="inlineStr">
        <is>
          <t>1 = default (follow). 0 = held: leases contracted to FY33 delay this saving — the sensitivity.</t>
        </is>
      </c>
    </row>
    <row r="50" ht="18" customHeight="1">
      <c r="A50" s="3" t="inlineStr">
        <is>
          <t>Data centres saved</t>
        </is>
      </c>
      <c r="B50" s="10">
        <f>U102</f>
        <v/>
      </c>
    </row>
    <row r="51" ht="18" customHeight="1">
      <c r="A51" s="41" t="inlineStr">
        <is>
          <t>FOLLOWED SAVING (servers + data centres)</t>
        </is>
      </c>
      <c r="B51" s="20">
        <f>B47+B50</f>
        <v/>
      </c>
    </row>
    <row r="52"/>
    <row r="53" ht="20" customHeight="1">
      <c r="A53" s="5" t="inlineStr">
        <is>
          <t>RESULT — FY2026</t>
        </is>
      </c>
      <c r="B53" s="6" t="n"/>
      <c r="C53" s="6" t="n"/>
      <c r="D53" s="6" t="n"/>
      <c r="E53" s="6" t="n"/>
      <c r="F53" s="6" t="n"/>
      <c r="G53" s="6" t="n"/>
      <c r="H53" s="6" t="n"/>
      <c r="I53" s="6" t="n"/>
    </row>
    <row r="54" ht="18" customHeight="1">
      <c r="A54" s="3" t="inlineStr">
        <is>
          <t>Training (chips + power)</t>
        </is>
      </c>
      <c r="B54" s="10">
        <f>B27</f>
        <v/>
      </c>
    </row>
    <row r="55" ht="18" customHeight="1">
      <c r="A55" s="3" t="inlineStr">
        <is>
          <t>Inference (chips + power)</t>
        </is>
      </c>
      <c r="B55" s="10">
        <f>B41</f>
        <v/>
      </c>
    </row>
    <row r="56" ht="18" customHeight="1">
      <c r="A56" s="3" t="inlineStr">
        <is>
          <t>Servers around the chips (follow the fleet)</t>
        </is>
      </c>
      <c r="B56" s="10">
        <f>B47</f>
        <v/>
      </c>
    </row>
    <row r="57" ht="18" customHeight="1">
      <c r="A57" s="3" t="inlineStr">
        <is>
          <t>Data centres (follow the fleet / held)</t>
        </is>
      </c>
      <c r="B57" s="10">
        <f>B50</f>
        <v/>
      </c>
    </row>
    <row r="58" ht="18" customHeight="1">
      <c r="A58" s="41" t="inlineStr">
        <is>
          <t>SPEND HELARCTOS MAKES UNNECESSARY, per year</t>
        </is>
      </c>
      <c r="B58" s="12">
        <f>SUM(B54:B57)</f>
        <v/>
      </c>
      <c r="D58" s="21" t="inlineStr">
        <is>
          <t>Ties to the detail table total below (column L).</t>
        </is>
      </c>
    </row>
    <row r="59" ht="18" customHeight="1">
      <c r="A59" s="41" t="inlineStr">
        <is>
          <t>…as a share of all AI spend</t>
        </is>
      </c>
      <c r="B59" s="47">
        <f>B58/M102</f>
        <v/>
      </c>
    </row>
    <row r="60" ht="18" customHeight="1">
      <c r="A60" s="3" t="inlineStr">
        <is>
          <t>…as a share of the AI-chip bill</t>
        </is>
      </c>
      <c r="B60" s="13">
        <f>(B25+B39)/B7</f>
        <v/>
      </c>
    </row>
    <row r="61" ht="18" customHeight="1">
      <c r="A61" s="41" t="inlineStr">
        <is>
          <t>Net AI cash result with Helarctos</t>
        </is>
      </c>
      <c r="B61" s="20">
        <f>B12+B58</f>
        <v/>
      </c>
    </row>
    <row r="62" ht="33" customHeight="1">
      <c r="A62" s="3" t="inlineStr">
        <is>
          <t>Value of the yearly saving, capitalized (÷ discount rate)</t>
        </is>
      </c>
      <c r="B62" s="14">
        <f>B58/Inputs!$B$6/1000</f>
        <v/>
      </c>
      <c r="D62" s="21" t="inlineStr">
        <is>
          <t>Simple perpetuity at the Inputs discount rate (6%).</t>
        </is>
      </c>
    </row>
    <row r="63"/>
    <row r="64" ht="20" customHeight="1">
      <c r="A64" s="5" t="inlineStr">
        <is>
          <t>SWITCH THE HELARCTOS LEVERS ON ONE AT A TIME (FY2026)</t>
        </is>
      </c>
      <c r="B64" s="6" t="n"/>
      <c r="C64" s="6" t="n"/>
      <c r="D64" s="6" t="n"/>
      <c r="E64" s="6" t="n"/>
      <c r="F64" s="6" t="n"/>
      <c r="G64" s="6" t="n"/>
      <c r="H64" s="6" t="n"/>
      <c r="I64" s="6" t="n"/>
    </row>
    <row r="65" ht="48" customHeight="1">
      <c r="A65" s="7" t="inlineStr">
        <is>
          <t>Step</t>
        </is>
      </c>
      <c r="B65" s="8" t="inlineStr">
        <is>
          <t>Training GPU-hours fall by</t>
        </is>
      </c>
      <c r="C65" s="8" t="inlineStr">
        <is>
          <t>Inference memory falls by</t>
        </is>
      </c>
      <c r="D65" s="8" t="inlineStr">
        <is>
          <t>Inference compute lever</t>
        </is>
      </c>
      <c r="E65" s="8" t="inlineStr">
        <is>
          <t>Servers &amp; data centres follow</t>
        </is>
      </c>
      <c r="F65" s="8" t="inlineStr">
        <is>
          <t>Chip fleet cut</t>
        </is>
      </c>
      <c r="G65" s="8" t="inlineStr">
        <is>
          <t>Spend cut, $B/yr</t>
        </is>
      </c>
      <c r="H65" s="8" t="inlineStr">
        <is>
          <t>Added by this step</t>
        </is>
      </c>
    </row>
    <row r="66" ht="18" customHeight="1">
      <c r="A66" s="9" t="inlineStr">
        <is>
          <t>Today's transformer fleet</t>
        </is>
      </c>
      <c r="B66" s="16" t="n">
        <v>1</v>
      </c>
      <c r="C66" s="28" t="n">
        <v>1</v>
      </c>
      <c r="D66" s="18" t="n">
        <v>1</v>
      </c>
      <c r="E66" s="49" t="n">
        <v>0</v>
      </c>
      <c r="F66" s="29">
        <f>SUMPRODUCT(($D$96:$D$101*(1-1/B66)+$E$96:$E$101*(1-1/MIN(C66,D66))))/B102</f>
        <v/>
      </c>
      <c r="G66" s="20">
        <f>SUMPRODUCT(($D$96:$D$101*(1-1/B66)+$E$96:$E$101*(1-1/MIN(C66,D66)))*(1+($I$96:$I$101+E66*($R$96:$R$101*ServersFollow+$S$96:$S$101*DCFollow))/$B$96:$B$101))</f>
        <v/>
      </c>
      <c r="H66" s="50">
        <f>G66</f>
        <v/>
      </c>
    </row>
    <row r="67" ht="33" customHeight="1">
      <c r="A67" s="9" t="inlineStr">
        <is>
          <t>Smaller model trained on fewer tokens, faster per token — training (H1–H3)</t>
        </is>
      </c>
      <c r="B67" s="16">
        <f>TrainLever</f>
        <v/>
      </c>
      <c r="C67" s="28" t="n">
        <v>1</v>
      </c>
      <c r="D67" s="18" t="n">
        <v>1</v>
      </c>
      <c r="E67" s="49" t="n">
        <v>0</v>
      </c>
      <c r="F67" s="29">
        <f>SUMPRODUCT(($D$96:$D$101*(1-1/B67)+$E$96:$E$101*(1-1/MIN(C67,D67))))/B102</f>
        <v/>
      </c>
      <c r="G67" s="20">
        <f>SUMPRODUCT(($D$96:$D$101*(1-1/B67)+$E$96:$E$101*(1-1/MIN(C67,D67)))*(1+($I$96:$I$101+E67*($R$96:$R$101*ServersFollow+$S$96:$S$101*DCFollow))/$B$96:$B$101))</f>
        <v/>
      </c>
      <c r="H67" s="50">
        <f>G67-G66</f>
        <v/>
      </c>
    </row>
    <row r="68" ht="33" customHeight="1">
      <c r="A68" s="9" t="inlineStr">
        <is>
          <t>+ Fixed-size memory, more conversations per GPU advancing per decode step — inference (H4–H6)</t>
        </is>
      </c>
      <c r="B68" s="16">
        <f>TrainLever</f>
        <v/>
      </c>
      <c r="C68" s="28">
        <f>MemoryLever</f>
        <v/>
      </c>
      <c r="D68" s="18">
        <f>ServeComputeLever</f>
        <v/>
      </c>
      <c r="E68" s="49" t="n">
        <v>0</v>
      </c>
      <c r="F68" s="29">
        <f>SUMPRODUCT(($D$96:$D$101*(1-1/B68)+$E$96:$E$101*(1-1/MIN(C68,D68))))/B102</f>
        <v/>
      </c>
      <c r="G68" s="20">
        <f>SUMPRODUCT(($D$96:$D$101*(1-1/B68)+$E$96:$E$101*(1-1/MIN(C68,D68)))*(1+($I$96:$I$101+E68*($R$96:$R$101*ServersFollow+$S$96:$S$101*DCFollow))/$B$96:$B$101))</f>
        <v/>
      </c>
      <c r="H68" s="50">
        <f>G68-G67</f>
        <v/>
      </c>
    </row>
    <row r="69" ht="33" customHeight="1">
      <c r="A69" s="11" t="inlineStr">
        <is>
          <t>+ the servers and data centres sized by those GPUs follow</t>
        </is>
      </c>
      <c r="B69" s="16">
        <f>TrainLever</f>
        <v/>
      </c>
      <c r="C69" s="28">
        <f>MemoryLever</f>
        <v/>
      </c>
      <c r="D69" s="18">
        <f>ServeComputeLever</f>
        <v/>
      </c>
      <c r="E69" s="49" t="n">
        <v>1</v>
      </c>
      <c r="F69" s="29">
        <f>SUMPRODUCT(($D$96:$D$101*(1-1/B69)+$E$96:$E$101*(1-1/MIN(C69,D69))))/B102</f>
        <v/>
      </c>
      <c r="G69" s="20">
        <f>SUMPRODUCT(($D$96:$D$101*(1-1/B69)+$E$96:$E$101*(1-1/MIN(C69,D69)))*(1+($I$96:$I$101+E69*($R$96:$R$101*ServersFollow+$S$96:$S$101*DCFollow))/$B$96:$B$101))</f>
        <v/>
      </c>
      <c r="H69" s="50">
        <f>G69-G68</f>
        <v/>
      </c>
    </row>
    <row r="70" ht="63" customHeight="1">
      <c r="A70" s="21" t="inlineStr">
        <is>
          <t>Training savings come from the smaller model (fewer parameters AND fewer tokens compound) trained faster per token. Inference savings come from fixed-size memory, which lets each GPU hold many more long conversations, more conversations advancing per decode step, on a smaller model. Each fleet then shrinks by ~96–99.9%: bigger multiples can't add much, because a cost can only fall to zero once. The last step is not a Helarctos lever at all — it is the servers and data centres sized by the GPUs following the fleet. That is why this workbook reports dollars, not multiples.</t>
        </is>
      </c>
    </row>
    <row r="71"/>
    <row r="72"/>
    <row r="73"/>
    <row r="74"/>
    <row r="75"/>
    <row r="76"/>
    <row r="77"/>
    <row r="78"/>
    <row r="79"/>
    <row r="80"/>
    <row r="81"/>
    <row r="82"/>
    <row r="83"/>
    <row r="84"/>
    <row r="85"/>
    <row r="86"/>
    <row r="87" ht="20" customHeight="1">
      <c r="A87" s="5" t="inlineStr">
        <is>
          <t>CROSS-CHECK against the technical Totals tab</t>
        </is>
      </c>
      <c r="B87" s="6" t="n"/>
      <c r="C87" s="6" t="n"/>
      <c r="D87" s="6" t="n"/>
      <c r="E87" s="6" t="n"/>
      <c r="F87" s="6" t="n"/>
      <c r="G87" s="6" t="n"/>
      <c r="H87" s="6" t="n"/>
      <c r="I87" s="6" t="n"/>
    </row>
    <row r="88" ht="33" customHeight="1">
      <c r="A88" s="3" t="inlineStr">
        <is>
          <t>Totals tab, FY2026 spend cut (memory and compute priced separately; chips + legacy DC share)</t>
        </is>
      </c>
      <c r="B88" s="10">
        <f>Totals!$F$12</f>
        <v/>
      </c>
    </row>
    <row r="89" ht="33" customHeight="1">
      <c r="A89" s="3" t="inlineStr">
        <is>
          <t>This bridge, chips and power only (training on GPU-hours, inference on whole GPUs)</t>
        </is>
      </c>
      <c r="B89" s="10">
        <f>B25+B39+J102+K102</f>
        <v/>
      </c>
    </row>
    <row r="90" ht="33" customHeight="1">
      <c r="A90" s="3" t="inlineStr">
        <is>
          <t>Difference</t>
        </is>
      </c>
      <c r="B90" s="10">
        <f>B89-B88</f>
        <v/>
      </c>
      <c r="D90" s="21" t="inlineStr">
        <is>
          <t>Within rounding by design: both remove ~99.9% of the chip bill. Totals also honours the legacy Inputs datacenter-scaling toggle (default 0).</t>
        </is>
      </c>
    </row>
    <row r="91" ht="33" customHeight="1">
      <c r="A91" s="3" t="inlineStr">
        <is>
          <t>+ the servers and data centres following the fleet (this bridge only)</t>
        </is>
      </c>
      <c r="B91" s="10">
        <f>B51</f>
        <v/>
      </c>
      <c r="D91" s="21" t="inlineStr">
        <is>
          <t>The Totals engine does not count these; the front-tab headline does (2026-10-01).</t>
        </is>
      </c>
    </row>
    <row r="92"/>
    <row r="93"/>
    <row r="94" ht="20" customHeight="1">
      <c r="A94" s="5" t="inlineStr">
        <is>
          <t>DETAIL BY COMPANY — FY2026 (the base year), $B. The engine behind every number above.</t>
        </is>
      </c>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48" customHeight="1">
      <c r="A95" s="7" t="inlineStr">
        <is>
          <t>Company</t>
        </is>
      </c>
      <c r="B95" s="8" t="inlineStr">
        <is>
          <t>AI-chip capex</t>
        </is>
      </c>
      <c r="C95" s="8" t="inlineStr">
        <is>
          <t>Training share</t>
        </is>
      </c>
      <c r="D95" s="8" t="inlineStr">
        <is>
          <t>Training fleet</t>
        </is>
      </c>
      <c r="E95" s="8" t="inlineStr">
        <is>
          <t>Inference fleet</t>
        </is>
      </c>
      <c r="F95" s="8" t="inlineStr">
        <is>
          <t>Training capex avoided</t>
        </is>
      </c>
      <c r="G95" s="8" t="inlineStr">
        <is>
          <t>Inference capex avoided</t>
        </is>
      </c>
      <c r="H95" s="8" t="inlineStr">
        <is>
          <t>Chip capex avoided</t>
        </is>
      </c>
      <c r="I95" s="8" t="inlineStr">
        <is>
          <t>Power &amp; ops today</t>
        </is>
      </c>
      <c r="J95" s="8" t="inlineStr">
        <is>
          <t>Training power saved</t>
        </is>
      </c>
      <c r="K95" s="8" t="inlineStr">
        <is>
          <t>Inference power saved</t>
        </is>
      </c>
      <c r="L95" s="8" t="inlineStr">
        <is>
          <t>TOTAL saving</t>
        </is>
      </c>
      <c r="M95" s="8" t="inlineStr">
        <is>
          <t>AI spend (capex + power)</t>
        </is>
      </c>
      <c r="N95" s="8" t="inlineStr">
        <is>
          <t>% of AI spend cut</t>
        </is>
      </c>
      <c r="O95" s="8" t="inlineStr">
        <is>
          <t>AI revenue</t>
        </is>
      </c>
      <c r="P95" s="8" t="inlineStr">
        <is>
          <t>Net AI today</t>
        </is>
      </c>
      <c r="Q95" s="8" t="inlineStr">
        <is>
          <t>Net AI with Helarctos</t>
        </is>
      </c>
      <c r="R95" s="8" t="inlineStr">
        <is>
          <t>Servers around the chips today</t>
        </is>
      </c>
      <c r="S95" s="8" t="inlineStr">
        <is>
          <t>Data centres today</t>
        </is>
      </c>
      <c r="T95" s="8" t="inlineStr">
        <is>
          <t>Servers saved</t>
        </is>
      </c>
      <c r="U95" s="8" t="inlineStr">
        <is>
          <t>Data centres saved</t>
        </is>
      </c>
      <c r="V95" s="8" t="inlineStr">
        <is>
          <t>Training saving (attributed)</t>
        </is>
      </c>
      <c r="W95" s="8" t="inlineStr">
        <is>
          <t>Inference saving (attributed)</t>
        </is>
      </c>
    </row>
    <row r="96">
      <c r="A96" s="35" t="inlineStr">
        <is>
          <t>Microsoft</t>
        </is>
      </c>
      <c r="B96" s="10">
        <f>'Microsoft'!$B$12</f>
        <v/>
      </c>
      <c r="C96" s="13">
        <f>Levers!$C$37</f>
        <v/>
      </c>
      <c r="D96" s="10">
        <f>B96*C96</f>
        <v/>
      </c>
      <c r="E96" s="10">
        <f>B96-D96</f>
        <v/>
      </c>
      <c r="F96" s="10">
        <f>D96*(1-1/TrainLever)</f>
        <v/>
      </c>
      <c r="G96" s="10">
        <f>E96*(1-1/ServeGPULever)</f>
        <v/>
      </c>
      <c r="H96" s="10">
        <f>F96+G96</f>
        <v/>
      </c>
      <c r="I96" s="42">
        <f>'Microsoft'!$B$34</f>
        <v/>
      </c>
      <c r="J96" s="42">
        <f>IF(B96&gt;0,I96*F96/B96,0)</f>
        <v/>
      </c>
      <c r="K96" s="42">
        <f>IF(B96&gt;0,I96*G96/B96,0)</f>
        <v/>
      </c>
      <c r="L96" s="20">
        <f>H96+J96+K96+T96+U96</f>
        <v/>
      </c>
      <c r="M96" s="10">
        <f>'Microsoft'!$B$10+I96</f>
        <v/>
      </c>
      <c r="N96" s="13">
        <f>L96/M96</f>
        <v/>
      </c>
      <c r="O96" s="10">
        <f>'Microsoft'!$B$32</f>
        <v/>
      </c>
      <c r="P96" s="10">
        <f>O96-M96</f>
        <v/>
      </c>
      <c r="Q96" s="20">
        <f>P96+L96</f>
        <v/>
      </c>
      <c r="R96" s="10">
        <f>'Microsoft'!$B$11-'Microsoft'!$B$12</f>
        <v/>
      </c>
      <c r="S96" s="10">
        <f>'Microsoft'!$B$10-'Microsoft'!$B$11</f>
        <v/>
      </c>
      <c r="T96" s="10">
        <f>IF(B96&gt;0,R96*H96/B96*ServersFollow,0)</f>
        <v/>
      </c>
      <c r="U96" s="10">
        <f>IF(B96&gt;0,S96*H96/B96*DCFollow,0)</f>
        <v/>
      </c>
      <c r="V96" s="10">
        <f>F96+J96+IF(H96&gt;0,(T96+U96)*F96/H96,0)</f>
        <v/>
      </c>
      <c r="W96" s="10">
        <f>G96+K96+IF(H96&gt;0,(T96+U96)*G96/H96,0)</f>
        <v/>
      </c>
    </row>
    <row r="97">
      <c r="A97" s="35" t="inlineStr">
        <is>
          <t>Alphabet</t>
        </is>
      </c>
      <c r="B97" s="10">
        <f>'Alphabet'!$B$12</f>
        <v/>
      </c>
      <c r="C97" s="13">
        <f>Levers!$C$38</f>
        <v/>
      </c>
      <c r="D97" s="10">
        <f>B97*C97</f>
        <v/>
      </c>
      <c r="E97" s="10">
        <f>B97-D97</f>
        <v/>
      </c>
      <c r="F97" s="10">
        <f>D97*(1-1/TrainLever)</f>
        <v/>
      </c>
      <c r="G97" s="10">
        <f>E97*(1-1/ServeGPULever)</f>
        <v/>
      </c>
      <c r="H97" s="10">
        <f>F97+G97</f>
        <v/>
      </c>
      <c r="I97" s="42">
        <f>'Alphabet'!$B$34</f>
        <v/>
      </c>
      <c r="J97" s="42">
        <f>IF(B97&gt;0,I97*F97/B97,0)</f>
        <v/>
      </c>
      <c r="K97" s="42">
        <f>IF(B97&gt;0,I97*G97/B97,0)</f>
        <v/>
      </c>
      <c r="L97" s="20">
        <f>H97+J97+K97+T97+U97</f>
        <v/>
      </c>
      <c r="M97" s="10">
        <f>'Alphabet'!$B$10+I97</f>
        <v/>
      </c>
      <c r="N97" s="13">
        <f>L97/M97</f>
        <v/>
      </c>
      <c r="O97" s="10">
        <f>'Alphabet'!$B$32</f>
        <v/>
      </c>
      <c r="P97" s="10">
        <f>O97-M97</f>
        <v/>
      </c>
      <c r="Q97" s="20">
        <f>P97+L97</f>
        <v/>
      </c>
      <c r="R97" s="10">
        <f>'Alphabet'!$B$11-'Alphabet'!$B$12</f>
        <v/>
      </c>
      <c r="S97" s="10">
        <f>'Alphabet'!$B$10-'Alphabet'!$B$11</f>
        <v/>
      </c>
      <c r="T97" s="10">
        <f>IF(B97&gt;0,R97*H97/B97*ServersFollow,0)</f>
        <v/>
      </c>
      <c r="U97" s="10">
        <f>IF(B97&gt;0,S97*H97/B97*DCFollow,0)</f>
        <v/>
      </c>
      <c r="V97" s="10">
        <f>F97+J97+IF(H97&gt;0,(T97+U97)*F97/H97,0)</f>
        <v/>
      </c>
      <c r="W97" s="10">
        <f>G97+K97+IF(H97&gt;0,(T97+U97)*G97/H97,0)</f>
        <v/>
      </c>
    </row>
    <row r="98">
      <c r="A98" s="35" t="inlineStr">
        <is>
          <t>Amazon</t>
        </is>
      </c>
      <c r="B98" s="10">
        <f>'Amazon'!$B$12</f>
        <v/>
      </c>
      <c r="C98" s="13">
        <f>Levers!$C$39</f>
        <v/>
      </c>
      <c r="D98" s="10">
        <f>B98*C98</f>
        <v/>
      </c>
      <c r="E98" s="10">
        <f>B98-D98</f>
        <v/>
      </c>
      <c r="F98" s="10">
        <f>D98*(1-1/TrainLever)</f>
        <v/>
      </c>
      <c r="G98" s="10">
        <f>E98*(1-1/ServeGPULever)</f>
        <v/>
      </c>
      <c r="H98" s="10">
        <f>F98+G98</f>
        <v/>
      </c>
      <c r="I98" s="42">
        <f>'Amazon'!$B$34</f>
        <v/>
      </c>
      <c r="J98" s="42">
        <f>IF(B98&gt;0,I98*F98/B98,0)</f>
        <v/>
      </c>
      <c r="K98" s="42">
        <f>IF(B98&gt;0,I98*G98/B98,0)</f>
        <v/>
      </c>
      <c r="L98" s="20">
        <f>H98+J98+K98+T98+U98</f>
        <v/>
      </c>
      <c r="M98" s="10">
        <f>'Amazon'!$B$10+I98</f>
        <v/>
      </c>
      <c r="N98" s="13">
        <f>L98/M98</f>
        <v/>
      </c>
      <c r="O98" s="10">
        <f>'Amazon'!$B$32</f>
        <v/>
      </c>
      <c r="P98" s="10">
        <f>O98-M98</f>
        <v/>
      </c>
      <c r="Q98" s="20">
        <f>P98+L98</f>
        <v/>
      </c>
      <c r="R98" s="10">
        <f>'Amazon'!$B$11-'Amazon'!$B$12</f>
        <v/>
      </c>
      <c r="S98" s="10">
        <f>'Amazon'!$B$10-'Amazon'!$B$11</f>
        <v/>
      </c>
      <c r="T98" s="10">
        <f>IF(B98&gt;0,R98*H98/B98*ServersFollow,0)</f>
        <v/>
      </c>
      <c r="U98" s="10">
        <f>IF(B98&gt;0,S98*H98/B98*DCFollow,0)</f>
        <v/>
      </c>
      <c r="V98" s="10">
        <f>F98+J98+IF(H98&gt;0,(T98+U98)*F98/H98,0)</f>
        <v/>
      </c>
      <c r="W98" s="10">
        <f>G98+K98+IF(H98&gt;0,(T98+U98)*G98/H98,0)</f>
        <v/>
      </c>
    </row>
    <row r="99">
      <c r="A99" s="35" t="inlineStr">
        <is>
          <t>Meta</t>
        </is>
      </c>
      <c r="B99" s="10">
        <f>'Meta'!$B$12</f>
        <v/>
      </c>
      <c r="C99" s="13">
        <f>Levers!$C$40</f>
        <v/>
      </c>
      <c r="D99" s="10">
        <f>B99*C99</f>
        <v/>
      </c>
      <c r="E99" s="10">
        <f>B99-D99</f>
        <v/>
      </c>
      <c r="F99" s="10">
        <f>D99*(1-1/TrainLever)</f>
        <v/>
      </c>
      <c r="G99" s="10">
        <f>E99*(1-1/ServeGPULever)</f>
        <v/>
      </c>
      <c r="H99" s="10">
        <f>F99+G99</f>
        <v/>
      </c>
      <c r="I99" s="42">
        <f>'Meta'!$B$34</f>
        <v/>
      </c>
      <c r="J99" s="42">
        <f>IF(B99&gt;0,I99*F99/B99,0)</f>
        <v/>
      </c>
      <c r="K99" s="42">
        <f>IF(B99&gt;0,I99*G99/B99,0)</f>
        <v/>
      </c>
      <c r="L99" s="20">
        <f>H99+J99+K99+T99+U99</f>
        <v/>
      </c>
      <c r="M99" s="10">
        <f>'Meta'!$B$10+I99</f>
        <v/>
      </c>
      <c r="N99" s="13">
        <f>L99/M99</f>
        <v/>
      </c>
      <c r="O99" s="10">
        <f>'Meta'!$B$32</f>
        <v/>
      </c>
      <c r="P99" s="10">
        <f>O99-M99</f>
        <v/>
      </c>
      <c r="Q99" s="20">
        <f>P99+L99</f>
        <v/>
      </c>
      <c r="R99" s="10">
        <f>'Meta'!$B$11-'Meta'!$B$12</f>
        <v/>
      </c>
      <c r="S99" s="10">
        <f>'Meta'!$B$10-'Meta'!$B$11</f>
        <v/>
      </c>
      <c r="T99" s="10">
        <f>IF(B99&gt;0,R99*H99/B99*ServersFollow,0)</f>
        <v/>
      </c>
      <c r="U99" s="10">
        <f>IF(B99&gt;0,S99*H99/B99*DCFollow,0)</f>
        <v/>
      </c>
      <c r="V99" s="10">
        <f>F99+J99+IF(H99&gt;0,(T99+U99)*F99/H99,0)</f>
        <v/>
      </c>
      <c r="W99" s="10">
        <f>G99+K99+IF(H99&gt;0,(T99+U99)*G99/H99,0)</f>
        <v/>
      </c>
    </row>
    <row r="100">
      <c r="A100" s="35" t="inlineStr">
        <is>
          <t>Oracle</t>
        </is>
      </c>
      <c r="B100" s="10">
        <f>'Oracle'!$B$12</f>
        <v/>
      </c>
      <c r="C100" s="13">
        <f>Levers!$C$41</f>
        <v/>
      </c>
      <c r="D100" s="10">
        <f>B100*C100</f>
        <v/>
      </c>
      <c r="E100" s="10">
        <f>B100-D100</f>
        <v/>
      </c>
      <c r="F100" s="10">
        <f>D100*(1-1/TrainLever)</f>
        <v/>
      </c>
      <c r="G100" s="10">
        <f>E100*(1-1/ServeGPULever)</f>
        <v/>
      </c>
      <c r="H100" s="10">
        <f>F100+G100</f>
        <v/>
      </c>
      <c r="I100" s="42">
        <f>'Oracle'!$B$34</f>
        <v/>
      </c>
      <c r="J100" s="42">
        <f>IF(B100&gt;0,I100*F100/B100,0)</f>
        <v/>
      </c>
      <c r="K100" s="42">
        <f>IF(B100&gt;0,I100*G100/B100,0)</f>
        <v/>
      </c>
      <c r="L100" s="20">
        <f>H100+J100+K100+T100+U100</f>
        <v/>
      </c>
      <c r="M100" s="10">
        <f>'Oracle'!$B$10+I100</f>
        <v/>
      </c>
      <c r="N100" s="13">
        <f>L100/M100</f>
        <v/>
      </c>
      <c r="O100" s="10">
        <f>'Oracle'!$B$32</f>
        <v/>
      </c>
      <c r="P100" s="10">
        <f>O100-M100</f>
        <v/>
      </c>
      <c r="Q100" s="20">
        <f>P100+L100</f>
        <v/>
      </c>
      <c r="R100" s="10">
        <f>'Oracle'!$B$11-'Oracle'!$B$12</f>
        <v/>
      </c>
      <c r="S100" s="10">
        <f>'Oracle'!$B$10-'Oracle'!$B$11</f>
        <v/>
      </c>
      <c r="T100" s="10">
        <f>IF(B100&gt;0,R100*H100/B100*ServersFollow,0)</f>
        <v/>
      </c>
      <c r="U100" s="10">
        <f>IF(B100&gt;0,S100*H100/B100*DCFollow,0)</f>
        <v/>
      </c>
      <c r="V100" s="10">
        <f>F100+J100+IF(H100&gt;0,(T100+U100)*F100/H100,0)</f>
        <v/>
      </c>
      <c r="W100" s="10">
        <f>G100+K100+IF(H100&gt;0,(T100+U100)*G100/H100,0)</f>
        <v/>
      </c>
    </row>
    <row r="101">
      <c r="A101" s="35" t="inlineStr">
        <is>
          <t>SpaceX</t>
        </is>
      </c>
      <c r="B101" s="10">
        <f>'SpaceX'!$B$12</f>
        <v/>
      </c>
      <c r="C101" s="13">
        <f>Levers!$C$42</f>
        <v/>
      </c>
      <c r="D101" s="10">
        <f>B101*C101</f>
        <v/>
      </c>
      <c r="E101" s="10">
        <f>B101-D101</f>
        <v/>
      </c>
      <c r="F101" s="10">
        <f>D101*(1-1/TrainLever)</f>
        <v/>
      </c>
      <c r="G101" s="10">
        <f>E101*(1-1/ServeGPULever)</f>
        <v/>
      </c>
      <c r="H101" s="10">
        <f>F101+G101</f>
        <v/>
      </c>
      <c r="I101" s="42">
        <f>'SpaceX'!$B$34</f>
        <v/>
      </c>
      <c r="J101" s="42">
        <f>IF(B101&gt;0,I101*F101/B101,0)</f>
        <v/>
      </c>
      <c r="K101" s="42">
        <f>IF(B101&gt;0,I101*G101/B101,0)</f>
        <v/>
      </c>
      <c r="L101" s="20">
        <f>H101+J101+K101+T101+U101</f>
        <v/>
      </c>
      <c r="M101" s="10">
        <f>'SpaceX'!$B$10+I101</f>
        <v/>
      </c>
      <c r="N101" s="13">
        <f>L101/M101</f>
        <v/>
      </c>
      <c r="O101" s="10">
        <f>'SpaceX'!$B$32</f>
        <v/>
      </c>
      <c r="P101" s="10">
        <f>O101-M101</f>
        <v/>
      </c>
      <c r="Q101" s="20">
        <f>P101+L101</f>
        <v/>
      </c>
      <c r="R101" s="10">
        <f>'SpaceX'!$B$11-'SpaceX'!$B$12</f>
        <v/>
      </c>
      <c r="S101" s="10">
        <f>'SpaceX'!$B$10-'SpaceX'!$B$11</f>
        <v/>
      </c>
      <c r="T101" s="10">
        <f>IF(B101&gt;0,R101*H101/B101*ServersFollow,0)</f>
        <v/>
      </c>
      <c r="U101" s="10">
        <f>IF(B101&gt;0,S101*H101/B101*DCFollow,0)</f>
        <v/>
      </c>
      <c r="V101" s="10">
        <f>F101+J101+IF(H101&gt;0,(T101+U101)*F101/H101,0)</f>
        <v/>
      </c>
      <c r="W101" s="10">
        <f>G101+K101+IF(H101&gt;0,(T101+U101)*G101/H101,0)</f>
        <v/>
      </c>
    </row>
    <row r="102">
      <c r="A102" s="30" t="inlineStr">
        <is>
          <t>TOTAL (6)</t>
        </is>
      </c>
      <c r="B102" s="31">
        <f>SUM(B96:B101)</f>
        <v/>
      </c>
      <c r="C102" s="32">
        <f>D102/B102</f>
        <v/>
      </c>
      <c r="D102" s="31">
        <f>SUM(D96:D101)</f>
        <v/>
      </c>
      <c r="E102" s="31">
        <f>SUM(E96:E101)</f>
        <v/>
      </c>
      <c r="F102" s="31">
        <f>SUM(F96:F101)</f>
        <v/>
      </c>
      <c r="G102" s="31">
        <f>SUM(G96:G101)</f>
        <v/>
      </c>
      <c r="H102" s="31">
        <f>SUM(H96:H101)</f>
        <v/>
      </c>
      <c r="I102" s="51">
        <f>SUM(I96:I101)</f>
        <v/>
      </c>
      <c r="J102" s="51">
        <f>SUM(J96:J101)</f>
        <v/>
      </c>
      <c r="K102" s="51">
        <f>SUM(K96:K101)</f>
        <v/>
      </c>
      <c r="L102" s="31">
        <f>SUM(L96:L101)</f>
        <v/>
      </c>
      <c r="M102" s="31">
        <f>SUM(M96:M101)</f>
        <v/>
      </c>
      <c r="N102" s="32">
        <f>L102/M102</f>
        <v/>
      </c>
      <c r="O102" s="31">
        <f>SUM(O96:O101)</f>
        <v/>
      </c>
      <c r="P102" s="31">
        <f>SUM(P96:P101)</f>
        <v/>
      </c>
      <c r="Q102" s="31">
        <f>SUM(Q96:Q101)</f>
        <v/>
      </c>
      <c r="R102" s="31">
        <f>SUM(R96:R101)</f>
        <v/>
      </c>
      <c r="S102" s="31">
        <f>SUM(S96:S101)</f>
        <v/>
      </c>
      <c r="T102" s="31">
        <f>SUM(T96:T101)</f>
        <v/>
      </c>
      <c r="U102" s="31">
        <f>SUM(U96:U101)</f>
        <v/>
      </c>
      <c r="V102" s="31">
        <f>SUM(V96:V101)</f>
        <v/>
      </c>
      <c r="W102" s="31">
        <f>SUM(W96:W101)</f>
        <v/>
      </c>
    </row>
    <row r="103"/>
    <row r="104" ht="20" customHeight="1">
      <c r="A104" s="5" t="inlineStr">
        <is>
          <t>DETAIL BY COMPANY — FY2025 (last year), $B. The engine behind every number above.</t>
        </is>
      </c>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48" customHeight="1">
      <c r="A105" s="7" t="inlineStr">
        <is>
          <t>Company</t>
        </is>
      </c>
      <c r="B105" s="8" t="inlineStr">
        <is>
          <t>AI-chip capex</t>
        </is>
      </c>
      <c r="C105" s="8" t="inlineStr">
        <is>
          <t>Training share</t>
        </is>
      </c>
      <c r="D105" s="8" t="inlineStr">
        <is>
          <t>Training fleet</t>
        </is>
      </c>
      <c r="E105" s="8" t="inlineStr">
        <is>
          <t>Inference fleet</t>
        </is>
      </c>
      <c r="F105" s="8" t="inlineStr">
        <is>
          <t>Training capex avoided</t>
        </is>
      </c>
      <c r="G105" s="8" t="inlineStr">
        <is>
          <t>Inference capex avoided</t>
        </is>
      </c>
      <c r="H105" s="8" t="inlineStr">
        <is>
          <t>Chip capex avoided</t>
        </is>
      </c>
      <c r="I105" s="8" t="inlineStr">
        <is>
          <t>Power &amp; ops today</t>
        </is>
      </c>
      <c r="J105" s="8" t="inlineStr">
        <is>
          <t>Training power saved</t>
        </is>
      </c>
      <c r="K105" s="8" t="inlineStr">
        <is>
          <t>Inference power saved</t>
        </is>
      </c>
      <c r="L105" s="8" t="inlineStr">
        <is>
          <t>TOTAL saving</t>
        </is>
      </c>
      <c r="M105" s="8" t="inlineStr">
        <is>
          <t>AI spend (capex + power)</t>
        </is>
      </c>
      <c r="N105" s="8" t="inlineStr">
        <is>
          <t>% of AI spend cut</t>
        </is>
      </c>
      <c r="O105" s="8" t="inlineStr">
        <is>
          <t>AI revenue</t>
        </is>
      </c>
      <c r="P105" s="8" t="inlineStr">
        <is>
          <t>Net AI today</t>
        </is>
      </c>
      <c r="Q105" s="8" t="inlineStr">
        <is>
          <t>Net AI with Helarctos</t>
        </is>
      </c>
      <c r="R105" s="8" t="inlineStr">
        <is>
          <t>Servers around the chips today</t>
        </is>
      </c>
      <c r="S105" s="8" t="inlineStr">
        <is>
          <t>Data centres today</t>
        </is>
      </c>
      <c r="T105" s="8" t="inlineStr">
        <is>
          <t>Servers saved</t>
        </is>
      </c>
      <c r="U105" s="8" t="inlineStr">
        <is>
          <t>Data centres saved</t>
        </is>
      </c>
      <c r="V105" s="8" t="inlineStr">
        <is>
          <t>Training saving (attributed)</t>
        </is>
      </c>
      <c r="W105" s="8" t="inlineStr">
        <is>
          <t>Inference saving (attributed)</t>
        </is>
      </c>
    </row>
    <row r="106">
      <c r="A106" s="35" t="inlineStr">
        <is>
          <t>Microsoft</t>
        </is>
      </c>
      <c r="B106" s="10">
        <f>'Microsoft'!$C$12</f>
        <v/>
      </c>
      <c r="C106" s="13">
        <f>Levers!$C$37</f>
        <v/>
      </c>
      <c r="D106" s="10">
        <f>B106*C106</f>
        <v/>
      </c>
      <c r="E106" s="10">
        <f>B106-D106</f>
        <v/>
      </c>
      <c r="F106" s="10">
        <f>D106*(1-1/TrainLever)</f>
        <v/>
      </c>
      <c r="G106" s="10">
        <f>E106*(1-1/ServeGPULever)</f>
        <v/>
      </c>
      <c r="H106" s="10">
        <f>F106+G106</f>
        <v/>
      </c>
      <c r="I106" s="42">
        <f>'Microsoft'!$C$34</f>
        <v/>
      </c>
      <c r="J106" s="42">
        <f>IF(B106&gt;0,I106*F106/B106,0)</f>
        <v/>
      </c>
      <c r="K106" s="42">
        <f>IF(B106&gt;0,I106*G106/B106,0)</f>
        <v/>
      </c>
      <c r="L106" s="20">
        <f>H106+J106+K106+T106+U106</f>
        <v/>
      </c>
      <c r="M106" s="10">
        <f>'Microsoft'!$C$10+I106</f>
        <v/>
      </c>
      <c r="N106" s="13">
        <f>L106/M106</f>
        <v/>
      </c>
      <c r="O106" s="10">
        <f>'Microsoft'!$C$32</f>
        <v/>
      </c>
      <c r="P106" s="10">
        <f>O106-M106</f>
        <v/>
      </c>
      <c r="Q106" s="20">
        <f>P106+L106</f>
        <v/>
      </c>
      <c r="R106" s="10">
        <f>'Microsoft'!$C$11-'Microsoft'!$C$12</f>
        <v/>
      </c>
      <c r="S106" s="10">
        <f>'Microsoft'!$C$10-'Microsoft'!$C$11</f>
        <v/>
      </c>
      <c r="T106" s="10">
        <f>IF(B106&gt;0,R106*H106/B106*ServersFollow,0)</f>
        <v/>
      </c>
      <c r="U106" s="10">
        <f>IF(B106&gt;0,S106*H106/B106*DCFollow,0)</f>
        <v/>
      </c>
      <c r="V106" s="10">
        <f>F106+J106+IF(H106&gt;0,(T106+U106)*F106/H106,0)</f>
        <v/>
      </c>
      <c r="W106" s="10">
        <f>G106+K106+IF(H106&gt;0,(T106+U106)*G106/H106,0)</f>
        <v/>
      </c>
    </row>
    <row r="107">
      <c r="A107" s="35" t="inlineStr">
        <is>
          <t>Alphabet</t>
        </is>
      </c>
      <c r="B107" s="10">
        <f>'Alphabet'!$C$12</f>
        <v/>
      </c>
      <c r="C107" s="13">
        <f>Levers!$C$38</f>
        <v/>
      </c>
      <c r="D107" s="10">
        <f>B107*C107</f>
        <v/>
      </c>
      <c r="E107" s="10">
        <f>B107-D107</f>
        <v/>
      </c>
      <c r="F107" s="10">
        <f>D107*(1-1/TrainLever)</f>
        <v/>
      </c>
      <c r="G107" s="10">
        <f>E107*(1-1/ServeGPULever)</f>
        <v/>
      </c>
      <c r="H107" s="10">
        <f>F107+G107</f>
        <v/>
      </c>
      <c r="I107" s="42">
        <f>'Alphabet'!$C$34</f>
        <v/>
      </c>
      <c r="J107" s="42">
        <f>IF(B107&gt;0,I107*F107/B107,0)</f>
        <v/>
      </c>
      <c r="K107" s="42">
        <f>IF(B107&gt;0,I107*G107/B107,0)</f>
        <v/>
      </c>
      <c r="L107" s="20">
        <f>H107+J107+K107+T107+U107</f>
        <v/>
      </c>
      <c r="M107" s="10">
        <f>'Alphabet'!$C$10+I107</f>
        <v/>
      </c>
      <c r="N107" s="13">
        <f>L107/M107</f>
        <v/>
      </c>
      <c r="O107" s="10">
        <f>'Alphabet'!$C$32</f>
        <v/>
      </c>
      <c r="P107" s="10">
        <f>O107-M107</f>
        <v/>
      </c>
      <c r="Q107" s="20">
        <f>P107+L107</f>
        <v/>
      </c>
      <c r="R107" s="10">
        <f>'Alphabet'!$C$11-'Alphabet'!$C$12</f>
        <v/>
      </c>
      <c r="S107" s="10">
        <f>'Alphabet'!$C$10-'Alphabet'!$C$11</f>
        <v/>
      </c>
      <c r="T107" s="10">
        <f>IF(B107&gt;0,R107*H107/B107*ServersFollow,0)</f>
        <v/>
      </c>
      <c r="U107" s="10">
        <f>IF(B107&gt;0,S107*H107/B107*DCFollow,0)</f>
        <v/>
      </c>
      <c r="V107" s="10">
        <f>F107+J107+IF(H107&gt;0,(T107+U107)*F107/H107,0)</f>
        <v/>
      </c>
      <c r="W107" s="10">
        <f>G107+K107+IF(H107&gt;0,(T107+U107)*G107/H107,0)</f>
        <v/>
      </c>
    </row>
    <row r="108">
      <c r="A108" s="35" t="inlineStr">
        <is>
          <t>Amazon</t>
        </is>
      </c>
      <c r="B108" s="10">
        <f>'Amazon'!$C$12</f>
        <v/>
      </c>
      <c r="C108" s="13">
        <f>Levers!$C$39</f>
        <v/>
      </c>
      <c r="D108" s="10">
        <f>B108*C108</f>
        <v/>
      </c>
      <c r="E108" s="10">
        <f>B108-D108</f>
        <v/>
      </c>
      <c r="F108" s="10">
        <f>D108*(1-1/TrainLever)</f>
        <v/>
      </c>
      <c r="G108" s="10">
        <f>E108*(1-1/ServeGPULever)</f>
        <v/>
      </c>
      <c r="H108" s="10">
        <f>F108+G108</f>
        <v/>
      </c>
      <c r="I108" s="42">
        <f>'Amazon'!$C$34</f>
        <v/>
      </c>
      <c r="J108" s="42">
        <f>IF(B108&gt;0,I108*F108/B108,0)</f>
        <v/>
      </c>
      <c r="K108" s="42">
        <f>IF(B108&gt;0,I108*G108/B108,0)</f>
        <v/>
      </c>
      <c r="L108" s="20">
        <f>H108+J108+K108+T108+U108</f>
        <v/>
      </c>
      <c r="M108" s="10">
        <f>'Amazon'!$C$10+I108</f>
        <v/>
      </c>
      <c r="N108" s="13">
        <f>L108/M108</f>
        <v/>
      </c>
      <c r="O108" s="10">
        <f>'Amazon'!$C$32</f>
        <v/>
      </c>
      <c r="P108" s="10">
        <f>O108-M108</f>
        <v/>
      </c>
      <c r="Q108" s="20">
        <f>P108+L108</f>
        <v/>
      </c>
      <c r="R108" s="10">
        <f>'Amazon'!$C$11-'Amazon'!$C$12</f>
        <v/>
      </c>
      <c r="S108" s="10">
        <f>'Amazon'!$C$10-'Amazon'!$C$11</f>
        <v/>
      </c>
      <c r="T108" s="10">
        <f>IF(B108&gt;0,R108*H108/B108*ServersFollow,0)</f>
        <v/>
      </c>
      <c r="U108" s="10">
        <f>IF(B108&gt;0,S108*H108/B108*DCFollow,0)</f>
        <v/>
      </c>
      <c r="V108" s="10">
        <f>F108+J108+IF(H108&gt;0,(T108+U108)*F108/H108,0)</f>
        <v/>
      </c>
      <c r="W108" s="10">
        <f>G108+K108+IF(H108&gt;0,(T108+U108)*G108/H108,0)</f>
        <v/>
      </c>
    </row>
    <row r="109">
      <c r="A109" s="35" t="inlineStr">
        <is>
          <t>Meta</t>
        </is>
      </c>
      <c r="B109" s="10">
        <f>'Meta'!$C$12</f>
        <v/>
      </c>
      <c r="C109" s="13">
        <f>Levers!$C$40</f>
        <v/>
      </c>
      <c r="D109" s="10">
        <f>B109*C109</f>
        <v/>
      </c>
      <c r="E109" s="10">
        <f>B109-D109</f>
        <v/>
      </c>
      <c r="F109" s="10">
        <f>D109*(1-1/TrainLever)</f>
        <v/>
      </c>
      <c r="G109" s="10">
        <f>E109*(1-1/ServeGPULever)</f>
        <v/>
      </c>
      <c r="H109" s="10">
        <f>F109+G109</f>
        <v/>
      </c>
      <c r="I109" s="42">
        <f>'Meta'!$C$34</f>
        <v/>
      </c>
      <c r="J109" s="42">
        <f>IF(B109&gt;0,I109*F109/B109,0)</f>
        <v/>
      </c>
      <c r="K109" s="42">
        <f>IF(B109&gt;0,I109*G109/B109,0)</f>
        <v/>
      </c>
      <c r="L109" s="20">
        <f>H109+J109+K109+T109+U109</f>
        <v/>
      </c>
      <c r="M109" s="10">
        <f>'Meta'!$C$10+I109</f>
        <v/>
      </c>
      <c r="N109" s="13">
        <f>L109/M109</f>
        <v/>
      </c>
      <c r="O109" s="10">
        <f>'Meta'!$C$32</f>
        <v/>
      </c>
      <c r="P109" s="10">
        <f>O109-M109</f>
        <v/>
      </c>
      <c r="Q109" s="20">
        <f>P109+L109</f>
        <v/>
      </c>
      <c r="R109" s="10">
        <f>'Meta'!$C$11-'Meta'!$C$12</f>
        <v/>
      </c>
      <c r="S109" s="10">
        <f>'Meta'!$C$10-'Meta'!$C$11</f>
        <v/>
      </c>
      <c r="T109" s="10">
        <f>IF(B109&gt;0,R109*H109/B109*ServersFollow,0)</f>
        <v/>
      </c>
      <c r="U109" s="10">
        <f>IF(B109&gt;0,S109*H109/B109*DCFollow,0)</f>
        <v/>
      </c>
      <c r="V109" s="10">
        <f>F109+J109+IF(H109&gt;0,(T109+U109)*F109/H109,0)</f>
        <v/>
      </c>
      <c r="W109" s="10">
        <f>G109+K109+IF(H109&gt;0,(T109+U109)*G109/H109,0)</f>
        <v/>
      </c>
    </row>
    <row r="110">
      <c r="A110" s="35" t="inlineStr">
        <is>
          <t>Oracle</t>
        </is>
      </c>
      <c r="B110" s="10">
        <f>'Oracle'!$C$12</f>
        <v/>
      </c>
      <c r="C110" s="13">
        <f>Levers!$C$41</f>
        <v/>
      </c>
      <c r="D110" s="10">
        <f>B110*C110</f>
        <v/>
      </c>
      <c r="E110" s="10">
        <f>B110-D110</f>
        <v/>
      </c>
      <c r="F110" s="10">
        <f>D110*(1-1/TrainLever)</f>
        <v/>
      </c>
      <c r="G110" s="10">
        <f>E110*(1-1/ServeGPULever)</f>
        <v/>
      </c>
      <c r="H110" s="10">
        <f>F110+G110</f>
        <v/>
      </c>
      <c r="I110" s="42">
        <f>'Oracle'!$C$34</f>
        <v/>
      </c>
      <c r="J110" s="42">
        <f>IF(B110&gt;0,I110*F110/B110,0)</f>
        <v/>
      </c>
      <c r="K110" s="42">
        <f>IF(B110&gt;0,I110*G110/B110,0)</f>
        <v/>
      </c>
      <c r="L110" s="20">
        <f>H110+J110+K110+T110+U110</f>
        <v/>
      </c>
      <c r="M110" s="10">
        <f>'Oracle'!$C$10+I110</f>
        <v/>
      </c>
      <c r="N110" s="13">
        <f>L110/M110</f>
        <v/>
      </c>
      <c r="O110" s="10">
        <f>'Oracle'!$C$32</f>
        <v/>
      </c>
      <c r="P110" s="10">
        <f>O110-M110</f>
        <v/>
      </c>
      <c r="Q110" s="20">
        <f>P110+L110</f>
        <v/>
      </c>
      <c r="R110" s="10">
        <f>'Oracle'!$C$11-'Oracle'!$C$12</f>
        <v/>
      </c>
      <c r="S110" s="10">
        <f>'Oracle'!$C$10-'Oracle'!$C$11</f>
        <v/>
      </c>
      <c r="T110" s="10">
        <f>IF(B110&gt;0,R110*H110/B110*ServersFollow,0)</f>
        <v/>
      </c>
      <c r="U110" s="10">
        <f>IF(B110&gt;0,S110*H110/B110*DCFollow,0)</f>
        <v/>
      </c>
      <c r="V110" s="10">
        <f>F110+J110+IF(H110&gt;0,(T110+U110)*F110/H110,0)</f>
        <v/>
      </c>
      <c r="W110" s="10">
        <f>G110+K110+IF(H110&gt;0,(T110+U110)*G110/H110,0)</f>
        <v/>
      </c>
    </row>
    <row r="111">
      <c r="A111" s="35" t="inlineStr">
        <is>
          <t>SpaceX</t>
        </is>
      </c>
      <c r="B111" s="10">
        <f>'SpaceX'!$C$12</f>
        <v/>
      </c>
      <c r="C111" s="13">
        <f>Levers!$C$42</f>
        <v/>
      </c>
      <c r="D111" s="10">
        <f>B111*C111</f>
        <v/>
      </c>
      <c r="E111" s="10">
        <f>B111-D111</f>
        <v/>
      </c>
      <c r="F111" s="10">
        <f>D111*(1-1/TrainLever)</f>
        <v/>
      </c>
      <c r="G111" s="10">
        <f>E111*(1-1/ServeGPULever)</f>
        <v/>
      </c>
      <c r="H111" s="10">
        <f>F111+G111</f>
        <v/>
      </c>
      <c r="I111" s="42">
        <f>'SpaceX'!$C$34</f>
        <v/>
      </c>
      <c r="J111" s="42">
        <f>IF(B111&gt;0,I111*F111/B111,0)</f>
        <v/>
      </c>
      <c r="K111" s="42">
        <f>IF(B111&gt;0,I111*G111/B111,0)</f>
        <v/>
      </c>
      <c r="L111" s="20">
        <f>H111+J111+K111+T111+U111</f>
        <v/>
      </c>
      <c r="M111" s="10">
        <f>'SpaceX'!$C$10+I111</f>
        <v/>
      </c>
      <c r="N111" s="13">
        <f>L111/M111</f>
        <v/>
      </c>
      <c r="O111" s="10">
        <f>'SpaceX'!$C$32</f>
        <v/>
      </c>
      <c r="P111" s="10">
        <f>O111-M111</f>
        <v/>
      </c>
      <c r="Q111" s="20">
        <f>P111+L111</f>
        <v/>
      </c>
      <c r="R111" s="10">
        <f>'SpaceX'!$C$11-'SpaceX'!$C$12</f>
        <v/>
      </c>
      <c r="S111" s="10">
        <f>'SpaceX'!$C$10-'SpaceX'!$C$11</f>
        <v/>
      </c>
      <c r="T111" s="10">
        <f>IF(B111&gt;0,R111*H111/B111*ServersFollow,0)</f>
        <v/>
      </c>
      <c r="U111" s="10">
        <f>IF(B111&gt;0,S111*H111/B111*DCFollow,0)</f>
        <v/>
      </c>
      <c r="V111" s="10">
        <f>F111+J111+IF(H111&gt;0,(T111+U111)*F111/H111,0)</f>
        <v/>
      </c>
      <c r="W111" s="10">
        <f>G111+K111+IF(H111&gt;0,(T111+U111)*G111/H111,0)</f>
        <v/>
      </c>
    </row>
    <row r="112">
      <c r="A112" s="30" t="inlineStr">
        <is>
          <t>TOTAL (6)</t>
        </is>
      </c>
      <c r="B112" s="31">
        <f>SUM(B106:B111)</f>
        <v/>
      </c>
      <c r="C112" s="32">
        <f>D112/B112</f>
        <v/>
      </c>
      <c r="D112" s="31">
        <f>SUM(D106:D111)</f>
        <v/>
      </c>
      <c r="E112" s="31">
        <f>SUM(E106:E111)</f>
        <v/>
      </c>
      <c r="F112" s="31">
        <f>SUM(F106:F111)</f>
        <v/>
      </c>
      <c r="G112" s="31">
        <f>SUM(G106:G111)</f>
        <v/>
      </c>
      <c r="H112" s="31">
        <f>SUM(H106:H111)</f>
        <v/>
      </c>
      <c r="I112" s="51">
        <f>SUM(I106:I111)</f>
        <v/>
      </c>
      <c r="J112" s="51">
        <f>SUM(J106:J111)</f>
        <v/>
      </c>
      <c r="K112" s="51">
        <f>SUM(K106:K111)</f>
        <v/>
      </c>
      <c r="L112" s="31">
        <f>SUM(L106:L111)</f>
        <v/>
      </c>
      <c r="M112" s="31">
        <f>SUM(M106:M111)</f>
        <v/>
      </c>
      <c r="N112" s="32">
        <f>L112/M112</f>
        <v/>
      </c>
      <c r="O112" s="31">
        <f>SUM(O106:O111)</f>
        <v/>
      </c>
      <c r="P112" s="31">
        <f>SUM(P106:P111)</f>
        <v/>
      </c>
      <c r="Q112" s="31">
        <f>SUM(Q106:Q111)</f>
        <v/>
      </c>
      <c r="R112" s="31">
        <f>SUM(R106:R111)</f>
        <v/>
      </c>
      <c r="S112" s="31">
        <f>SUM(S106:S111)</f>
        <v/>
      </c>
      <c r="T112" s="31">
        <f>SUM(T106:T111)</f>
        <v/>
      </c>
      <c r="U112" s="31">
        <f>SUM(U106:U111)</f>
        <v/>
      </c>
      <c r="V112" s="31">
        <f>SUM(V106:V111)</f>
        <v/>
      </c>
      <c r="W112" s="31">
        <f>SUM(W106:W111)</f>
        <v/>
      </c>
    </row>
  </sheetData>
  <mergeCells count="31">
    <mergeCell ref="D11:I11"/>
    <mergeCell ref="D49:I49"/>
    <mergeCell ref="D27:I27"/>
    <mergeCell ref="D32:I32"/>
    <mergeCell ref="D91:I91"/>
    <mergeCell ref="D7:I7"/>
    <mergeCell ref="A2:I2"/>
    <mergeCell ref="D62:I62"/>
    <mergeCell ref="D37:I37"/>
    <mergeCell ref="D9:I9"/>
    <mergeCell ref="D12:I12"/>
    <mergeCell ref="D58:I58"/>
    <mergeCell ref="D8:I8"/>
    <mergeCell ref="D15:I15"/>
    <mergeCell ref="D33:I33"/>
    <mergeCell ref="D5:I5"/>
    <mergeCell ref="D23:I23"/>
    <mergeCell ref="D35:I35"/>
    <mergeCell ref="D20:I20"/>
    <mergeCell ref="D26:I26"/>
    <mergeCell ref="D44:I44"/>
    <mergeCell ref="D34:I34"/>
    <mergeCell ref="D10:I10"/>
    <mergeCell ref="D46:I46"/>
    <mergeCell ref="D90:I90"/>
    <mergeCell ref="D22:I22"/>
    <mergeCell ref="D40:I40"/>
    <mergeCell ref="D31:I31"/>
    <mergeCell ref="A70:I70"/>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50"/>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(H1–H6) vs. market &amp; company data</t>
        </is>
      </c>
      <c r="B1" s="2" t="n"/>
      <c r="C1" s="2" t="n"/>
      <c r="D1" s="2" t="n"/>
      <c r="E1" s="2" t="n"/>
      <c r="F1" s="2" t="n"/>
      <c r="G1" s="2" t="n"/>
      <c r="H1" s="2" t="n"/>
    </row>
    <row r="2" ht="33" customHeight="1">
      <c r="A2" s="3" t="inlineStr">
        <is>
          <t>Only the six teal levers (H1–H6) are about the Helarctos architecture. Everything else the front tabs use is market or company data, listed further down. ◆ purple = differs between the two scenarios · ★ orange border = high-impact input (What Matters tab).</t>
        </is>
      </c>
    </row>
    <row r="3"/>
    <row r="4" ht="33" customHeight="1">
      <c r="B4" s="43" t="inlineStr">
        <is>
          <t>◆ Scenario (pick from the list)</t>
        </is>
      </c>
      <c r="C4" s="39" t="inlineStr">
        <is>
          <t>Current kernels</t>
        </is>
      </c>
      <c r="D4" s="21" t="inlineStr">
        <is>
          <t>Current kernels = the software we have built and measured. Optimized kernels = our funded kernel programme lands (a TARGET). Only the ◆ cells change: H3 training speed per token and prompt-processing speed.</t>
        </is>
      </c>
    </row>
    <row r="5" ht="18" customHeight="1">
      <c r="B5" s="43" t="inlineStr">
        <is>
          <t>Average conversation length (context)</t>
        </is>
      </c>
      <c r="C5" s="38" t="inlineStr">
        <is>
          <t>262k tokens</t>
        </is>
      </c>
      <c r="D5" s="21" t="inlineStr">
        <is>
          <t>H4, H5 and H6 are quoted at this context. Longer conversations favour Helarctos more.</t>
        </is>
      </c>
    </row>
    <row r="6" ht="48" customHeight="1">
      <c r="B6" s="52" t="inlineStr">
        <is>
          <t>Datacenters follow the fleet (1 = follow, 0 = held)</t>
        </is>
      </c>
      <c r="C6" s="53" t="n">
        <v>1</v>
      </c>
      <c r="D6" s="21" t="inlineStr">
        <is>
          <t>1 (default): the data-centre bucket — buildings, power &amp; cooling, network — is sized by the GPUs it houses and scales down with them (2026-10-01 ruling). 0: held at today's spend because leases are contracted to FY33 — the sensitivity (What Matters). The servers around the chips follow via C34.</t>
        </is>
      </c>
    </row>
    <row r="7" ht="20" customHeight="1">
      <c r="A7" s="5" t="inlineStr">
        <is>
          <t>HELARCTOS LEVERS — the six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108" customHeight="1">
      <c r="A9" s="54" t="inlineStr">
        <is>
          <t>H1</t>
        </is>
      </c>
      <c r="B9" s="24" t="inlineStr">
        <is>
          <t>Smaller model for the same quality ★</t>
        </is>
      </c>
      <c r="C9" s="55">
        <f>Inputs!$B$23</f>
        <v/>
      </c>
      <c r="D9" s="56" t="inlineStr">
        <is>
          <t>same</t>
        </is>
      </c>
      <c r="E9" s="56" t="inlineStr">
        <is>
          <t>same</t>
        </is>
      </c>
      <c r="F9" s="9" t="inlineStr">
        <is>
          <t>PROJECTED — quality trends measured on models we trained (47M–663M parameters), extended to ~1T dense-equivalent</t>
        </is>
      </c>
      <c r="G9" s="9" t="inlineStr">
        <is>
          <t>A Helarctos model matches a ~1T dense-equivalent transformer — about what today's 5–6T-total mixture-of-experts flagships amount to — with ~24% of the parameters: 4.2× fewer numbers to store, update and run.</t>
        </is>
      </c>
      <c r="H9" s="9" t="inlineStr">
        <is>
          <t>Training AND inference: a smaller equal-quality model costs proportionally less per token (the inference size factor, Inputs B33; reinstated 2026-10-01)</t>
        </is>
      </c>
    </row>
    <row r="10" ht="48" customHeight="1">
      <c r="A10" s="54" t="inlineStr">
        <is>
          <t>H2</t>
        </is>
      </c>
      <c r="B10" s="24" t="inlineStr">
        <is>
          <t>Fewer training tokens</t>
        </is>
      </c>
      <c r="C10" s="57">
        <f>C9</f>
        <v/>
      </c>
      <c r="D10" s="56" t="inlineStr">
        <is>
          <t>same</t>
        </is>
      </c>
      <c r="E10" s="56" t="inlineStr">
        <is>
          <t>same</t>
        </is>
      </c>
      <c r="F10" s="9" t="inlineStr">
        <is>
          <t>PROJECTED — standard compute-optimal scaling</t>
        </is>
      </c>
      <c r="G10" s="9" t="inlineStr">
        <is>
          <t>Frontier labs train on data in proportion to model size, so a 4.2× smaller model reaches its best quality on ~4.2× fewer tokens.</t>
        </is>
      </c>
      <c r="H10" s="9" t="inlineStr">
        <is>
          <t>Training</t>
        </is>
      </c>
    </row>
    <row r="11" ht="138" customHeight="1">
      <c r="A11" s="54" t="inlineStr">
        <is>
          <t>H3</t>
        </is>
      </c>
      <c r="B11" s="24" t="inlineStr">
        <is>
          <t>Training speed per token (same model size) ◆</t>
        </is>
      </c>
      <c r="C11" s="58">
        <f>IF(Scenario="Optimized kernels",E11,D11)</f>
        <v/>
      </c>
      <c r="D11" s="15" t="n">
        <v>2.220667013967386</v>
      </c>
      <c r="E11" s="15" t="n">
        <v>3.967000451897755</v>
      </c>
      <c r="F11" s="9" t="inlineStr">
        <is>
          <t>MEASURED ×2.22 (curriculum illustrative): step costs measured at 2k/8k and modelled beyond, weighted over a modern 8k/64k/256k mix. Optimized kernels: ×3.97 TARGET (the fused-kernel 8k gate, not a receipt)</t>
        </is>
      </c>
      <c r="G11" s="9" t="inlineStr">
        <is>
          <t>Per token at the same model size, Helarctos trains faster over a modern long-context mix: our cost per token is flat in context while the transformer's grows, so the long-context phases dominate its bill.</t>
        </is>
      </c>
      <c r="H11" s="9" t="inlineStr">
        <is>
          <t>Training</t>
        </is>
      </c>
    </row>
    <row r="12" ht="93" customHeight="1">
      <c r="A12" s="54" t="inlineStr">
        <is>
          <t>H4</t>
        </is>
      </c>
      <c r="B12" s="24" t="inlineStr">
        <is>
          <t>Memory per live conversation</t>
        </is>
      </c>
      <c r="C12" s="59">
        <f>Inputs!$B$2</f>
        <v/>
      </c>
      <c r="D12" s="56" t="inlineStr">
        <is>
          <t>same</t>
        </is>
      </c>
      <c r="E12" s="56" t="inlineStr">
        <is>
          <t>same</t>
        </is>
      </c>
      <c r="F12" s="9" t="inlineStr">
        <is>
          <t>MEASURED ×2,032 at 262k (on our test model). Frontier-size models with grouped-query attention: ~÷208 (estimate), where memory would bind again</t>
        </is>
      </c>
      <c r="G12" s="9" t="inlineStr">
        <is>
          <t>A transformer's memory (the KV cache) grows with every token of every live conversation — 51.6 GB for one 262k-token conversation. Helarctos keeps a fixed-size state (25.4 MB).</t>
        </is>
      </c>
      <c r="H12" s="9" t="inlineStr">
        <is>
          <t>Inference GPUs (the memory limit; not binding at 262k)</t>
        </is>
      </c>
    </row>
    <row r="13" ht="198" customHeight="1">
      <c r="A13" s="54" t="inlineStr">
        <is>
          <t>H5</t>
        </is>
      </c>
      <c r="B13" s="24" t="inlineStr">
        <is>
          <t>More conversations per GPU</t>
        </is>
      </c>
      <c r="C13" s="45">
        <f>Inputs!$B$28</f>
        <v/>
      </c>
      <c r="D13" s="56" t="inlineStr">
        <is>
          <t>same</t>
        </is>
      </c>
      <c r="E13" s="56" t="inlineStr">
        <is>
          <t>same</t>
        </is>
      </c>
      <c r="F13" s="9" t="inlineStr">
        <is>
          <t>MEASURED per layer — 2026-10-01 decode receipt at a ~90-layer frontier geometry with grouped-query attention (4 KB of cache per token per layer): 256 resident streams (1 MB of state per layer each, a grid cap) vs the transformer's largest measured batch whose full-model cache fits the card (1 at 262k — 90 GiB of cache)</t>
        </is>
      </c>
      <c r="G13" s="9" t="inlineStr">
        <is>
          <t>The small memory (H4) lets one GPU hold 256 resident 262k-token conversations at once, where a transformer fits 1.</t>
        </is>
      </c>
      <c r="H13" s="9" t="inlineStr">
        <is>
          <t>Inference GPUs (tokens per GPU)</t>
        </is>
      </c>
    </row>
    <row r="14" ht="213" customHeight="1">
      <c r="A14" s="54" t="inlineStr">
        <is>
          <t>H6</t>
        </is>
      </c>
      <c r="B14" s="24" t="inlineStr">
        <is>
          <t>Decode step vs the transformer, per layer</t>
        </is>
      </c>
      <c r="C14" s="57">
        <f>Inputs!$B$29</f>
        <v/>
      </c>
      <c r="D14" s="56" t="inlineStr">
        <is>
          <t>same</t>
        </is>
      </c>
      <c r="E14" s="56" t="inlineStr">
        <is>
          <t>same</t>
        </is>
      </c>
      <c r="F14" s="9" t="inlineStr">
        <is>
          <t>MEASURED per layer — 2026-10-01 decode receipt: ×0.74 per decode step at 262k at a ~90-layer frontier geometry with grouped-query attention (4 KB of cache per token per layer) (×1.42 on the receipt's 24-layer comparator); both per-layer steps measured including their feed-forward blocks — ours as written and uncompiled, so the ratio is a floor</t>
        </is>
      </c>
      <c r="G14" s="9" t="inlineStr">
        <is>
          <t>Per decode step the transformer's single long-context stream is still faster than our 256-stream step (x0.74, i.e. our step is 1.35x longer); the gain is H5 — 256 conversations advance per step instead of 1.</t>
        </is>
      </c>
      <c r="H14" s="9" t="inlineStr">
        <is>
          <t>Inference GPUs (tokens per GPU)</t>
        </is>
      </c>
    </row>
    <row r="15" ht="48" customHeight="1">
      <c r="A15" s="35" t="inlineStr"/>
      <c r="B15" s="9" t="inlineStr">
        <is>
          <t>Supporting: prompt-processing speed vs the transformer ◆</t>
        </is>
      </c>
      <c r="C15" s="60">
        <f>IF(Scenario="Optimized kernels",E15,D15)</f>
        <v/>
      </c>
      <c r="D15" s="17">
        <f>Inputs!$B$24</f>
        <v/>
      </c>
      <c r="E15" s="17">
        <f>Inputs!$B$25</f>
        <v/>
      </c>
      <c r="F15" s="9" t="inlineStr">
        <is>
          <t>MEASURED ×3.94 kernel speed-up banked; the full ×7.03 is a TARGET</t>
        </is>
      </c>
      <c r="G15" s="9" t="inlineStr">
        <is>
          <t>A Helarctos kernel property, not a headline lever: prompts are ~0.2% of a transformer's time at 262k, so it barely moves the dollars.</t>
        </is>
      </c>
      <c r="H15" s="9" t="inlineStr">
        <is>
          <t>Inference GPUs (tokens per GPU)</t>
        </is>
      </c>
    </row>
    <row r="16"/>
    <row r="17" ht="20" customHeight="1">
      <c r="A17" s="5" t="inlineStr">
        <is>
          <t>HOW THE LEVERS COMBINE — one number per fleet</t>
        </is>
      </c>
      <c r="B17" s="6" t="n"/>
      <c r="C17" s="6" t="n"/>
      <c r="D17" s="6" t="n"/>
      <c r="E17" s="6" t="n"/>
      <c r="F17" s="6" t="n"/>
      <c r="G17" s="6" t="n"/>
      <c r="H17" s="6" t="n"/>
    </row>
    <row r="18" ht="33" customHeight="1">
      <c r="B18" s="11" t="inlineStr">
        <is>
          <t>Training: GPU-hours per training run fall by</t>
        </is>
      </c>
      <c r="C18" s="44">
        <f>SmallerModel*FewerTokens*TrainSpeed</f>
        <v/>
      </c>
      <c r="D18" s="21" t="inlineStr">
        <is>
          <t>H1 × H2 × H3. Training clusters are sized to GPU-hours, so the training fleet can shrink by this much for the same training programme.</t>
        </is>
      </c>
    </row>
    <row r="19" ht="33" customHeight="1">
      <c r="B19" s="11" t="inlineStr">
        <is>
          <t>Inference: memory per conversation falls by</t>
        </is>
      </c>
      <c r="C19" s="59">
        <f>MemoryLever</f>
        <v/>
      </c>
      <c r="D19" s="21" t="inlineStr">
        <is>
          <t>H4</t>
        </is>
      </c>
    </row>
    <row r="20" ht="33" customHeight="1">
      <c r="B20" s="11" t="inlineStr">
        <is>
          <t>Inference: decode tokens per GPU rise by</t>
        </is>
      </c>
      <c r="C20" s="45">
        <f>MoreConversations*FasterDecode</f>
        <v/>
      </c>
      <c r="D20" s="21" t="inlineStr">
        <is>
          <t>H5 × H6: conversations per GPU × the per-step time ratio (measured per layer, 2026-10-01).</t>
        </is>
      </c>
    </row>
    <row r="21" ht="33" customHeight="1">
      <c r="B21" s="11" t="inlineStr">
        <is>
          <t>Inference: tokens per GPU at equal model size, incl. prompt processing</t>
        </is>
      </c>
      <c r="C21" s="45">
        <f>Inputs!$B$34</f>
        <v/>
      </c>
      <c r="D21" s="21" t="inlineStr">
        <is>
          <t>H5 × H6 with the prompts added back at the supporting prompt-processing speed.</t>
        </is>
      </c>
    </row>
    <row r="22" ht="48" customHeight="1">
      <c r="B22" s="11" t="inlineStr">
        <is>
          <t>Inference: compute lever = tokens per GPU × the equal-quality size factor</t>
        </is>
      </c>
      <c r="C22" s="45">
        <f>Inputs!$B$27</f>
        <v/>
      </c>
      <c r="D22" s="21">
        <f>"× H1 (×"&amp;TEXT(Inputs!$B$33,"0.00")&amp;", Inputs B33): a smaller equal-quality model costs proportionally less per token, in inference as in training (2026-10-01)."</f>
        <v/>
      </c>
    </row>
    <row r="23" ht="33" customHeight="1">
      <c r="B23" s="11" t="inlineStr">
        <is>
          <t>Inference: GPUs needed fall by</t>
        </is>
      </c>
      <c r="C23" s="45">
        <f>MIN(MemoryLever,ServeComputeLever)</f>
        <v/>
      </c>
      <c r="D23" s="21">
        <f>"The smaller of memory (H4) and the compute lever. A GPU is bought whole — memory and compute together — so the fleet covers whichever runs out first: here the compute lever binds. Multiplying them ("&amp;TEXT(MemoryLever,"#,##0")&amp;" × "&amp;TEXT(ServeComputeLever,"#,##0")&amp;") would be wrong."</f>
        <v/>
      </c>
    </row>
    <row r="24" ht="33" customHeight="1">
      <c r="B24" s="9" t="inlineStr">
        <is>
          <t>For reference: technical tabs' blended cut</t>
        </is>
      </c>
      <c r="C24" s="18">
        <f>Inputs!$B$20</f>
        <v/>
      </c>
      <c r="D24" s="21" t="inlineStr">
        <is>
          <t>The technical appendix (Totals, company tabs) prices memory (~60% of a GPU's cost) and compute (~40%) separately and blends them. Same chip bill; both remove ~99.9% of it.</t>
        </is>
      </c>
    </row>
    <row r="25" ht="20" customHeight="1">
      <c r="A25" s="5" t="inlineStr">
        <is>
          <t>MARKET &amp; COMPANY DATA — the other inputs (not about Helarctos)</t>
        </is>
      </c>
      <c r="B25" s="6" t="n"/>
      <c r="C25" s="6" t="n"/>
      <c r="D25" s="6" t="n"/>
      <c r="E25" s="6" t="n"/>
      <c r="F25" s="6" t="n"/>
      <c r="G25" s="6" t="n"/>
      <c r="H25" s="6" t="n"/>
    </row>
    <row r="26" ht="18" customHeight="1">
      <c r="A26" s="7" t="inlineStr"/>
      <c r="B26" s="8" t="inlineStr">
        <is>
          <t>Input</t>
        </is>
      </c>
      <c r="C26" s="8" t="inlineStr">
        <is>
          <t>Value</t>
        </is>
      </c>
      <c r="D26" s="8" t="inlineStr">
        <is>
          <t>Where to edit</t>
        </is>
      </c>
      <c r="E26" s="23" t="n"/>
      <c r="F26" s="8" t="inlineStr">
        <is>
          <t>Note</t>
        </is>
      </c>
      <c r="G26" s="22" t="n"/>
      <c r="H26" s="23" t="n"/>
    </row>
    <row r="27" ht="33" customHeight="1">
      <c r="B27" s="9" t="inlineStr">
        <is>
          <t>AI data-centre capex, FY2026 (six companies)</t>
        </is>
      </c>
      <c r="C27" s="10">
        <f>'Value Bridge'!$B$6</f>
        <v/>
      </c>
      <c r="D27" s="35" t="inlineStr">
        <is>
          <t>company tabs, rows 3–4 ★</t>
        </is>
      </c>
      <c r="E27" s="23" t="n"/>
      <c r="F27" s="21" t="inlineStr">
        <is>
          <t>Disclosed / guided capex × data-centre share (from 10-K/10-Q notes). P&amp;E additions; no labor.</t>
        </is>
      </c>
    </row>
    <row r="28" ht="18" customHeight="1">
      <c r="B28" s="9" t="inlineStr">
        <is>
          <t>…share that buys AI chips</t>
        </is>
      </c>
      <c r="C28" s="13">
        <f>'Value Bridge'!$B$7/'Value Bridge'!$B$6</f>
        <v/>
      </c>
      <c r="D28" s="35" t="inlineStr">
        <is>
          <t>company tabs, rows 5–6 ★</t>
        </is>
      </c>
      <c r="E28" s="23" t="n"/>
      <c r="F28" s="21" t="inlineStr">
        <is>
          <t>Server share (CFO-disclosed) × accelerator share of servers (teardowns).</t>
        </is>
      </c>
    </row>
    <row r="29" ht="33" customHeight="1">
      <c r="B29" s="9" t="inlineStr">
        <is>
          <t>Training share of the chip fleet (chip-weighted)</t>
        </is>
      </c>
      <c r="C29" s="13">
        <f>'Value Bridge'!$C$15</f>
        <v/>
      </c>
      <c r="D29" s="35" t="inlineStr">
        <is>
          <t>per company, below</t>
        </is>
      </c>
      <c r="E29" s="23" t="n"/>
      <c r="F29" s="21" t="inlineStr">
        <is>
          <t>Analyst estimates; no company discloses this.</t>
        </is>
      </c>
    </row>
    <row r="30" ht="18" customHeight="1">
      <c r="B30" s="9" t="inlineStr">
        <is>
          <t>Fully-loaded cost per GPU</t>
        </is>
      </c>
      <c r="C30" s="61">
        <f>Inputs!$B$7</f>
        <v/>
      </c>
      <c r="D30" s="35" t="inlineStr">
        <is>
          <t>Inputs B7</t>
        </is>
      </c>
      <c r="E30" s="23" t="n"/>
      <c r="F30" s="21" t="inlineStr">
        <is>
          <t>Sizes the fleet for the power calculation.</t>
        </is>
      </c>
    </row>
    <row r="31" ht="18" customHeight="1">
      <c r="B31" s="9" t="inlineStr">
        <is>
          <t>Wall power per GPU (kW)</t>
        </is>
      </c>
      <c r="C31" s="62">
        <f>Inputs!$B$8</f>
        <v/>
      </c>
      <c r="D31" s="35" t="inlineStr">
        <is>
          <t>Inputs B8</t>
        </is>
      </c>
      <c r="E31" s="23" t="n"/>
      <c r="F31" s="21" t="inlineStr">
        <is>
          <t>Power is ~2% of the saving.</t>
        </is>
      </c>
    </row>
    <row r="32" ht="18" customHeight="1">
      <c r="B32" s="9" t="inlineStr">
        <is>
          <t>Electricity ($/kWh)</t>
        </is>
      </c>
      <c r="C32" s="63">
        <f>Inputs!$B$9</f>
        <v/>
      </c>
      <c r="D32" s="35" t="inlineStr">
        <is>
          <t>Inputs B9</t>
        </is>
      </c>
      <c r="E32" s="23" t="n"/>
      <c r="F32" s="21" t="inlineStr">
        <is>
          <t>Power is ~2% of the saving.</t>
        </is>
      </c>
    </row>
    <row r="33" ht="18" customHeight="1">
      <c r="B33" s="9" t="inlineStr">
        <is>
          <t>Discount rate ★ (capitalized value only)</t>
        </is>
      </c>
      <c r="C33" s="64">
        <f>Inputs!$B$6</f>
        <v/>
      </c>
      <c r="D33" s="35" t="inlineStr">
        <is>
          <t>Inputs B6</t>
        </is>
      </c>
      <c r="E33" s="23" t="n"/>
      <c r="F33" s="21" t="inlineStr">
        <is>
          <t>Changes only the capitalized value, never the yearly saving.</t>
        </is>
      </c>
    </row>
    <row r="34" ht="33" customHeight="1">
      <c r="B34" s="9" t="inlineStr">
        <is>
          <t>Servers around the chips follow the fleet (1 = follow, 0 = held)</t>
        </is>
      </c>
      <c r="C34" s="65" t="n">
        <v>1</v>
      </c>
      <c r="D34" s="35" t="inlineStr">
        <is>
          <t>here</t>
        </is>
      </c>
      <c r="E34" s="23" t="n"/>
      <c r="F34" s="21" t="inlineStr">
        <is>
          <t>The rest of the server bucket (CPUs, chassis, networking) is sized by the accelerator count, so it scales down with the fleet (2026-10-01). Datacenters: C6.</t>
        </is>
      </c>
    </row>
    <row r="35" ht="20" customHeight="1">
      <c r="A35" s="5" t="inlineStr">
        <is>
          <t>TRAINING SHARE OF EACH COMPANY'S AI-CHIP FLEET — edit the yellow cells</t>
        </is>
      </c>
      <c r="B35" s="6" t="n"/>
      <c r="C35" s="6" t="n"/>
      <c r="D35" s="6" t="n"/>
      <c r="E35" s="6" t="n"/>
      <c r="F35" s="6" t="n"/>
      <c r="G35" s="6" t="n"/>
      <c r="H35" s="6" t="n"/>
    </row>
    <row r="36" ht="18" customHeight="1">
      <c r="B36" s="21" t="inlineStr">
        <is>
          <t>Estimates: no company discloses this. Analysts put training at 30–45% of AI compute in 2026 (Gartner, Deloitte); the rest is inference, i.e. serving users.</t>
        </is>
      </c>
    </row>
    <row r="37" ht="18" customHeight="1">
      <c r="B37" s="35" t="inlineStr">
        <is>
          <t>Microsoft</t>
        </is>
      </c>
      <c r="C37" s="48" t="n">
        <v>0.25</v>
      </c>
      <c r="D37" s="21" t="inlineStr">
        <is>
          <t>Inference-tilted: Azure serves the OpenAI API and Copilot; frontier training is moving to Stargate sites.</t>
        </is>
      </c>
    </row>
    <row r="38" ht="18" customHeight="1">
      <c r="B38" s="35" t="inlineStr">
        <is>
          <t>Alphabet</t>
        </is>
      </c>
      <c r="C38" s="48" t="n">
        <v>0.35</v>
      </c>
      <c r="D38" s="21" t="inlineStr">
        <is>
          <t>Trains Gemini on TPUs, but runs the largest inference estate (Search, ads, Cloud).</t>
        </is>
      </c>
    </row>
    <row r="39" ht="18" customHeight="1">
      <c r="B39" s="35" t="inlineStr">
        <is>
          <t>Amazon</t>
        </is>
      </c>
      <c r="C39" s="48" t="n">
        <v>0.35</v>
      </c>
      <c r="D39" s="21" t="inlineStr">
        <is>
          <t>Hosts large training clusters (Trainium) inside a broad AWS inference-rental business.</t>
        </is>
      </c>
    </row>
    <row r="40" ht="18" customHeight="1">
      <c r="B40" s="35" t="inlineStr">
        <is>
          <t>Meta</t>
        </is>
      </c>
      <c r="C40" s="48" t="n">
        <v>0.45</v>
      </c>
      <c r="D40" s="21" t="inlineStr">
        <is>
          <t>FY26 capex raise is driven by frontier training clusters, on top of ads-ranking inference.</t>
        </is>
      </c>
    </row>
    <row r="41" ht="18" customHeight="1">
      <c r="B41" s="35" t="inlineStr">
        <is>
          <t>Oracle</t>
        </is>
      </c>
      <c r="C41" s="48" t="n">
        <v>0.55</v>
      </c>
      <c r="D41" s="21" t="inlineStr">
        <is>
          <t>Stargate's dedicated OpenAI training data centres run on OCI.</t>
        </is>
      </c>
    </row>
    <row r="42" ht="18" customHeight="1">
      <c r="B42" s="35" t="inlineStr">
        <is>
          <t>SpaceX</t>
        </is>
      </c>
      <c r="C42" s="48" t="n">
        <v>0.5</v>
      </c>
      <c r="D42" s="21" t="inlineStr">
        <is>
          <t>Greenfield build (Colossus); early workloads are training-heavy.</t>
        </is>
      </c>
    </row>
    <row r="43"/>
    <row r="44" ht="20" customHeight="1">
      <c r="A44" s="5" t="inlineStr">
        <is>
          <t>FINE PRINT</t>
        </is>
      </c>
      <c r="B44" s="6" t="n"/>
      <c r="C44" s="6" t="n"/>
      <c r="D44" s="6" t="n"/>
      <c r="E44" s="6" t="n"/>
      <c r="F44" s="6" t="n"/>
      <c r="G44" s="6" t="n"/>
      <c r="H44" s="6" t="n"/>
    </row>
    <row r="45" ht="18" customHeight="1">
      <c r="A45" s="66" t="inlineStr">
        <is>
          <t>•</t>
        </is>
      </c>
      <c r="B45" s="3" t="inlineStr">
        <is>
          <t>AI spend = property &amp; equipment additions (AI chips, the servers around them, data-centre buildings, power &amp; cooling, network) plus electricity. No labor is counted anywhere.</t>
        </is>
      </c>
    </row>
    <row r="46" ht="33" customHeight="1">
      <c r="A46" s="66" t="inlineStr">
        <is>
          <t>•</t>
        </is>
      </c>
      <c r="B46" s="3" t="inlineStr">
        <is>
          <t>The servers and datacenters sized by the GPUs follow the blended chip-fleet cut by default (2026-10-01: they scale down when no longer necessary; switches C6 and C34). Holding the datacenters — leases contracted to FY33 — is the sensitivity and delays, not removes, that saving.</t>
        </is>
      </c>
    </row>
    <row r="47" ht="18" customHeight="1">
      <c r="A47" s="66" t="inlineStr">
        <is>
          <t>•</t>
        </is>
      </c>
      <c r="B47" s="3" t="inlineStr">
        <is>
          <t>Training is priced on GPU-hours only; no memory credit is taken on training clusters.</t>
        </is>
      </c>
    </row>
    <row r="48" ht="48" customHeight="1">
      <c r="A48" s="66" t="inlineStr">
        <is>
          <t>•</t>
        </is>
      </c>
      <c r="B48" s="3" t="inlineStr">
        <is>
          <t>H4 (×2,032) is measured on our test model; for frontier-size models with grouped-query attention the estimate is ~×208, where memory would bind again. H5 and H6 are measured per layer on the 2026-10-01 decode receipt and quoted at a ~90-layer frontier geometry with grouped-query attention (4 KB of cache per token per layer); both per-layer steps measured including their feed-forward blocks — ours as written and uncompiled, so the ratio is a floor. H3 is measured step cost over an illustrative curriculum mix.</t>
        </is>
      </c>
    </row>
    <row r="49" ht="33" customHeight="1">
      <c r="A49" s="66" t="inlineStr">
        <is>
          <t>•</t>
        </is>
      </c>
      <c r="B49" s="3" t="inlineStr">
        <is>
          <t>H1 is a projection: quality trends measured up to 663M parameters, extended to ~1T dense-equivalent — about what today's 5–6T-total mixture-of-experts flagships (Grok 5 at 6T, Kimi K3 at 2.8T) amount to. It multiplies inference as well as training (Inputs B33).</t>
        </is>
      </c>
    </row>
    <row r="50" ht="18" customHeight="1">
      <c r="A50" s="66" t="inlineStr">
        <is>
          <t>•</t>
        </is>
      </c>
      <c r="B50" s="3" t="inlineStr">
        <is>
          <t>The saving is spend no longer needed for the same AI output; firms will likely reinvest it. Cash basis; 'capitalized' = yearly saving ÷ discount rate (6%, roughly the long-bond yield).</t>
        </is>
      </c>
    </row>
  </sheetData>
  <mergeCells count="42">
    <mergeCell ref="D20:H20"/>
    <mergeCell ref="F33:H33"/>
    <mergeCell ref="B49:H49"/>
    <mergeCell ref="D34:E34"/>
    <mergeCell ref="D19:H19"/>
    <mergeCell ref="F32:H32"/>
    <mergeCell ref="F26:H26"/>
    <mergeCell ref="D22:H22"/>
    <mergeCell ref="D31:E31"/>
    <mergeCell ref="D40:H40"/>
    <mergeCell ref="B45:H45"/>
    <mergeCell ref="B36:H36"/>
    <mergeCell ref="D21:H21"/>
    <mergeCell ref="B50:H50"/>
    <mergeCell ref="D6:H6"/>
    <mergeCell ref="F28:H28"/>
    <mergeCell ref="F31:H31"/>
    <mergeCell ref="F27:H27"/>
    <mergeCell ref="D27:E27"/>
    <mergeCell ref="B47:H47"/>
    <mergeCell ref="D32:E32"/>
    <mergeCell ref="D41:H41"/>
    <mergeCell ref="B46:H46"/>
    <mergeCell ref="A2:H2"/>
    <mergeCell ref="D28:E28"/>
    <mergeCell ref="D37:H37"/>
    <mergeCell ref="B48:H48"/>
    <mergeCell ref="D4:H4"/>
    <mergeCell ref="F29:H29"/>
    <mergeCell ref="D18:H18"/>
    <mergeCell ref="F34:H34"/>
    <mergeCell ref="D39:H39"/>
    <mergeCell ref="D30:E30"/>
    <mergeCell ref="D24:H24"/>
    <mergeCell ref="D33:E33"/>
    <mergeCell ref="D29:E29"/>
    <mergeCell ref="D42:H42"/>
    <mergeCell ref="D5:H5"/>
    <mergeCell ref="D23:H23"/>
    <mergeCell ref="D38:H38"/>
    <mergeCell ref="F30:H30"/>
    <mergeCell ref="D26:E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7"/>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($774B/yr).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7" t="n"/>
      <c r="B5" s="68" t="inlineStr">
        <is>
          <t>Helarctos levers</t>
        </is>
      </c>
      <c r="C5" s="69" t="inlineStr">
        <is>
          <t>what the architecture changes</t>
        </is>
      </c>
      <c r="D5" s="67" t="n"/>
      <c r="E5" s="67" t="n"/>
      <c r="F5" s="67" t="n"/>
      <c r="G5" s="67" t="n"/>
      <c r="H5" s="67" t="n"/>
    </row>
    <row r="6" ht="78" customHeight="1">
      <c r="A6" s="70" t="inlineStr">
        <is>
          <t>★</t>
        </is>
      </c>
      <c r="B6" s="24" t="inlineStr">
        <is>
          <t>H1 + H2 · Smaller model, trained on fewer tokens ★</t>
        </is>
      </c>
      <c r="C6" s="9" t="inlineStr">
        <is>
          <t>Inputs B23</t>
        </is>
      </c>
      <c r="D6" s="71" t="inlineStr">
        <is>
          <t>×2</t>
        </is>
      </c>
      <c r="E6" s="72" t="n">
        <v>-25.79748321879538</v>
      </c>
      <c r="F6" s="71" t="inlineStr">
        <is>
          <t>×5.7 (5T dense)</t>
        </is>
      </c>
      <c r="G6" s="72" t="n">
        <v>3.408652479014449</v>
      </c>
      <c r="H6" s="73" t="inlineStr">
        <is>
          <t>The biggest Helarctos-specific assumption: it drives the training saving (smaller model × fewer tokens) and multiplies the inference lever (Inputs B33). A projection from models up to 663M parameters to ~1T dense-equivalent (today's 5–6T mixture-of-experts flagships). High case: a 5T dense model.</t>
        </is>
      </c>
    </row>
    <row r="7" ht="48" customHeight="1">
      <c r="A7" s="70" t="inlineStr"/>
      <c r="B7" s="24" t="inlineStr">
        <is>
          <t>H3 · Training speed per token (same model size) ◆</t>
        </is>
      </c>
      <c r="C7" s="9" t="inlineStr">
        <is>
          <t>Levers D11/E11</t>
        </is>
      </c>
      <c r="D7" s="71" t="inlineStr">
        <is>
          <t>×1 (parity)</t>
        </is>
      </c>
      <c r="E7" s="74" t="n">
        <v>-8.877587826355466</v>
      </c>
      <c r="F7" s="71" t="inlineStr">
        <is>
          <t>×4.0 (fused-kernel target)</t>
        </is>
      </c>
      <c r="G7" s="74" t="n">
        <v>3.201567690207412</v>
      </c>
      <c r="H7" s="73" t="inlineStr">
        <is>
          <t>×2.22 measured over a modern curriculum; ×3.97 is the fused-kernel target. Small effect: the smaller model already removes ~94% of training GPU-hours.</t>
        </is>
      </c>
    </row>
    <row r="8" ht="63" customHeight="1">
      <c r="A8" s="70" t="inlineStr"/>
      <c r="B8" s="24" t="inlineStr">
        <is>
          <t>H5 · More conversations per GPU</t>
        </is>
      </c>
      <c r="C8" s="9" t="inlineStr">
        <is>
          <t>Inputs B28</t>
        </is>
      </c>
      <c r="D8" s="71" t="inlineStr">
        <is>
          <t>×64 (full-model cell, 2026-08-14)</t>
        </is>
      </c>
      <c r="E8" s="74" t="n">
        <v>-1.853273614999921</v>
      </c>
      <c r="F8" s="71" t="inlineStr">
        <is>
          <t>×512</t>
        </is>
      </c>
      <c r="G8" s="74" t="n">
        <v>0.3088789358332633</v>
      </c>
      <c r="H8" s="73" t="inlineStr">
        <is>
          <t>How many long conversations one GPU holds at once (256 vs the transformer's 1 at 262k, measured per layer on the 2026-10-01 receipt). Small effect: inference GPUs already shrink by ~99.9%, so even the 64-stream 2026-08-14 cell costs under $1B.</t>
        </is>
      </c>
    </row>
    <row r="9" ht="48" customHeight="1">
      <c r="A9" s="70" t="inlineStr"/>
      <c r="B9" s="24" t="inlineStr">
        <is>
          <t>H4 · Memory per live conversation</t>
        </is>
      </c>
      <c r="C9" s="9" t="inlineStr">
        <is>
          <t>Inputs B2</t>
        </is>
      </c>
      <c r="D9" s="71" t="inlineStr">
        <is>
          <t>÷208 (frontier-model geometry)</t>
        </is>
      </c>
      <c r="E9" s="74" t="n">
        <v>-1.731978330615448</v>
      </c>
      <c r="F9" s="71" t="inlineStr">
        <is>
          <t>÷8,000</t>
        </is>
      </c>
      <c r="G9" s="74" t="n">
        <v>0</v>
      </c>
      <c r="H9" s="73" t="inlineStr">
        <is>
          <t>Measured ×2,032 at 262k on our test model. Caveat: for frontier-size models with grouped-query attention the frontier-geometry estimate is ~÷208, where memory would bind again (≈ −$0.5B).</t>
        </is>
      </c>
    </row>
    <row r="10" ht="93" customHeight="1">
      <c r="A10" s="70" t="inlineStr"/>
      <c r="B10" s="24" t="inlineStr">
        <is>
          <t>H6 · Decode step vs the transformer, per layer</t>
        </is>
      </c>
      <c r="C10" s="9" t="inlineStr">
        <is>
          <t>Inputs B29</t>
        </is>
      </c>
      <c r="D10" s="71" t="inlineStr">
        <is>
          <t>×0.4 (the 128k cell)</t>
        </is>
      </c>
      <c r="E10" s="74" t="n">
        <v>-0.4057202280520187</v>
      </c>
      <c r="F10" s="71" t="inlineStr">
        <is>
          <t>×1.0 (the 4k cell)</t>
        </is>
      </c>
      <c r="G10" s="74" t="n">
        <v>0.1559137908432149</v>
      </c>
      <c r="H10" s="73" t="inlineStr">
        <is>
          <t>Per-step decode time ratio (×0.74 at 262k, measured per layer on the 2026-10-01 receipt at a ~90-layer frontier geometry with grouped-query attention (4 KB of cache per token per layer); both per-layer steps measured including their feed-forward blocks — ours as written and uncompiled, so the ratio is a floor). It counts in the dollars — but only ~$0.4B across the range.</t>
        </is>
      </c>
    </row>
    <row r="11">
      <c r="A11" s="75" t="n"/>
      <c r="B11" s="76" t="inlineStr">
        <is>
          <t>Market &amp; company data</t>
        </is>
      </c>
      <c r="C11" s="77" t="inlineStr">
        <is>
          <t>not about Helarctos</t>
        </is>
      </c>
      <c r="D11" s="75" t="n"/>
      <c r="E11" s="75" t="n"/>
      <c r="F11" s="75" t="n"/>
      <c r="G11" s="75" t="n"/>
      <c r="H11" s="75" t="n"/>
    </row>
    <row r="12" ht="63" customHeight="1">
      <c r="A12" s="70" t="inlineStr">
        <is>
          <t>★</t>
        </is>
      </c>
      <c r="B12" s="11" t="inlineStr">
        <is>
          <t>Datacenters follow the fleet</t>
        </is>
      </c>
      <c r="C12" s="9" t="inlineStr">
        <is>
          <t>Levers C6</t>
        </is>
      </c>
      <c r="D12" s="71" t="inlineStr">
        <is>
          <t>held (leases contracted to FY33)</t>
        </is>
      </c>
      <c r="E12" s="72" t="n">
        <v>-258.2837246962338</v>
      </c>
      <c r="F12" s="71" t="inlineStr">
        <is>
          <t>follow (headline)</t>
        </is>
      </c>
      <c r="G12" s="72" t="n">
        <v>0</v>
      </c>
      <c r="H12" s="73" t="inlineStr">
        <is>
          <t>Default (Levers C6 = 1): the data-centre bucket — buildings, power &amp; cooling, network — scales down with the GPUs it houses. Held (0): leases are contracted to FY33, so that saving arrives later — the single largest sensitivity.</t>
        </is>
      </c>
    </row>
    <row r="13" ht="63" customHeight="1">
      <c r="A13" s="70" t="inlineStr">
        <is>
          <t>★</t>
        </is>
      </c>
      <c r="B13" s="11" t="inlineStr">
        <is>
          <t>Data-center share of capex</t>
        </is>
      </c>
      <c r="C13" s="9" t="inlineStr">
        <is>
          <t>company tabs, row 4</t>
        </is>
      </c>
      <c r="D13" s="71" t="inlineStr">
        <is>
          <t>−5%</t>
        </is>
      </c>
      <c r="E13" s="72" t="n">
        <v>-38.70747326812102</v>
      </c>
      <c r="F13" s="71" t="inlineStr">
        <is>
          <t>+5%</t>
        </is>
      </c>
      <c r="G13" s="72" t="n">
        <v>28.33210176302089</v>
      </c>
      <c r="H13" s="73" t="inlineStr">
        <is>
          <t>Share of capex that goes into data centres rather than offices and other assets. From 10-K/10-Q property notes (93–98%; Amazon's AWS share 68–76%). Now that the whole AI bill follows the fleet, this moves the dollars one-for-one.</t>
        </is>
      </c>
    </row>
    <row r="14" ht="18" customHeight="1">
      <c r="A14" s="70" t="inlineStr"/>
      <c r="B14" s="9" t="inlineStr">
        <is>
          <t>Electricity rate</t>
        </is>
      </c>
      <c r="C14" s="9" t="inlineStr">
        <is>
          <t>Inputs B9</t>
        </is>
      </c>
      <c r="D14" s="71" t="inlineStr">
        <is>
          <t>$0.05</t>
        </is>
      </c>
      <c r="E14" s="74" t="n">
        <v>-5.543445219546925</v>
      </c>
      <c r="F14" s="71" t="inlineStr">
        <is>
          <t>$0.12</t>
        </is>
      </c>
      <c r="G14" s="74" t="n">
        <v>7.391260292729157</v>
      </c>
      <c r="H14" s="73" t="inlineStr">
        <is>
          <t>Only changes the power part of the saving (~2% of the total).</t>
        </is>
      </c>
    </row>
    <row r="15" ht="18" customHeight="1">
      <c r="A15" s="70" t="inlineStr"/>
      <c r="B15" s="9" t="inlineStr">
        <is>
          <t>Wall power per GPU</t>
        </is>
      </c>
      <c r="C15" s="9" t="inlineStr">
        <is>
          <t>Inputs B8</t>
        </is>
      </c>
      <c r="D15" s="71" t="inlineStr">
        <is>
          <t>1.5 kW</t>
        </is>
      </c>
      <c r="E15" s="74" t="n">
        <v>-5.141746290594256</v>
      </c>
      <c r="F15" s="71" t="inlineStr">
        <is>
          <t>3.0 kW</t>
        </is>
      </c>
      <c r="G15" s="74" t="n">
        <v>4.499028004269917</v>
      </c>
      <c r="H15" s="73" t="inlineStr">
        <is>
          <t>Only changes the power part of the saving (~2% of the total).</t>
        </is>
      </c>
    </row>
    <row r="16" ht="78" customHeight="1">
      <c r="A16" s="70" t="inlineStr"/>
      <c r="B16" s="9" t="inlineStr">
        <is>
          <t>Average conversation length</t>
        </is>
      </c>
      <c r="C16" s="9" t="inlineStr">
        <is>
          <t>262k default (app: sidebar)</t>
        </is>
      </c>
      <c r="D16" s="71" t="inlineStr">
        <is>
          <t>32k</t>
        </is>
      </c>
      <c r="E16" s="74" t="n">
        <v>-4.386996316212048</v>
      </c>
      <c r="F16" s="71" t="inlineStr">
        <is>
          <t>1M (modelled)</t>
        </is>
      </c>
      <c r="G16" s="74" t="n">
        <v>0.4529374726317883</v>
      </c>
      <c r="H16" s="73" t="inlineStr">
        <is>
          <t>Shorter conversations shrink both the memory advantage and tokens per GPU (inference lever ×98 at 32k); longer ones grow them (×2,590 at 1M, where one transformer conversation no longer fits a GPU). The workbook is fixed at 262k; the app's sidebar lets you change it.</t>
        </is>
      </c>
    </row>
    <row r="17" ht="33" customHeight="1">
      <c r="A17" s="70" t="inlineStr"/>
      <c r="B17" s="9" t="inlineStr">
        <is>
          <t>Training share of the chip fleet</t>
        </is>
      </c>
      <c r="C17" s="9" t="inlineStr">
        <is>
          <t>Levers C37:C42</t>
        </is>
      </c>
      <c r="D17" s="71" t="inlineStr">
        <is>
          <t>all 20%</t>
        </is>
      </c>
      <c r="E17" s="74" t="n">
        <v>3.144222553165491</v>
      </c>
      <c r="F17" s="71" t="inlineStr">
        <is>
          <t>all 60%</t>
        </is>
      </c>
      <c r="G17" s="74" t="n">
        <v>-4.364507973283594</v>
      </c>
      <c r="H17" s="73" t="inlineStr">
        <is>
          <t>Small effect: both fleets shrink by 96–99.9%, so moving spend between them barely changes the total.</t>
        </is>
      </c>
    </row>
    <row r="18" ht="48" customHeight="1">
      <c r="A18" s="70" t="inlineStr"/>
      <c r="B18" s="9" t="inlineStr">
        <is>
          <t>Server share of AI capex</t>
        </is>
      </c>
      <c r="C18" s="9" t="inlineStr">
        <is>
          <t>company tabs, row 5</t>
        </is>
      </c>
      <c r="D18" s="71" t="inlineStr">
        <is>
          <t>−15%</t>
        </is>
      </c>
      <c r="E18" s="74" t="n">
        <v>-2.217378087818815</v>
      </c>
      <c r="F18" s="71" t="inlineStr">
        <is>
          <t>+15%</t>
        </is>
      </c>
      <c r="G18" s="74" t="n">
        <v>2.217378087818702</v>
      </c>
      <c r="H18" s="73" t="inlineStr">
        <is>
          <t>How much AI capex buys servers rather than buildings, power and networking. With both buckets following the fleet the split barely matters. CFO-disclosed for Microsoft and Alphabet.</t>
        </is>
      </c>
    </row>
    <row r="19" ht="63" customHeight="1">
      <c r="A19" s="70" t="inlineStr"/>
      <c r="B19" s="9" t="inlineStr">
        <is>
          <t>Accelerator share of servers</t>
        </is>
      </c>
      <c r="C19" s="9" t="inlineStr">
        <is>
          <t>company tabs, row 6</t>
        </is>
      </c>
      <c r="D19" s="71" t="inlineStr">
        <is>
          <t>−15%</t>
        </is>
      </c>
      <c r="E19" s="74" t="n">
        <v>-2.217378087818815</v>
      </c>
      <c r="F19" s="71" t="inlineStr">
        <is>
          <t>+15%</t>
        </is>
      </c>
      <c r="G19" s="74" t="n">
        <v>1.958242725456671</v>
      </c>
      <c r="H19" s="73" t="inlineStr">
        <is>
          <t>The GPU/TPU share of server spend. With the servers around the chips following the fleet, the split barely matters. From chip and server teardowns (67–80%; a GB200 rack's GPUs are ~75–80% of its price).</t>
        </is>
      </c>
    </row>
    <row r="20" ht="33" customHeight="1">
      <c r="A20" s="70" t="inlineStr"/>
      <c r="B20" s="9" t="inlineStr">
        <is>
          <t>Memory share of GPU cost</t>
        </is>
      </c>
      <c r="C20" s="9" t="inlineStr">
        <is>
          <t>Inputs B4</t>
        </is>
      </c>
      <c r="D20" s="71" t="inlineStr">
        <is>
          <t>40%</t>
        </is>
      </c>
      <c r="E20" s="74" t="n">
        <v>0</v>
      </c>
      <c r="F20" s="71" t="inlineStr">
        <is>
          <t>80%</t>
        </is>
      </c>
      <c r="G20" s="74" t="n">
        <v>0</v>
      </c>
      <c r="H20" s="73" t="inlineStr">
        <is>
          <t>No effect on the front tabs (GPUs are bought whole); under $1B on the technical Totals tab.</t>
        </is>
      </c>
    </row>
    <row r="21"/>
    <row r="22"/>
    <row r="23"/>
    <row r="24"/>
    <row r="25"/>
    <row r="26"/>
    <row r="27"/>
    <row r="28"/>
    <row r="29"/>
    <row r="30"/>
    <row r="31"/>
    <row r="32"/>
    <row r="33"/>
    <row r="34"/>
    <row r="35"/>
    <row r="36"/>
    <row r="37"/>
    <row r="38"/>
    <row r="39"/>
    <row r="40"/>
    <row r="41"/>
    <row r="42"/>
    <row r="43" ht="20" customHeight="1">
      <c r="A43" s="5" t="inlineStr">
        <is>
          <t>CAPITALIZED VALUE ONLY</t>
        </is>
      </c>
      <c r="B43" s="6" t="n"/>
      <c r="C43" s="6" t="n"/>
      <c r="D43" s="6" t="n"/>
      <c r="E43" s="6" t="n"/>
      <c r="F43" s="6" t="n"/>
      <c r="G43" s="6" t="n"/>
      <c r="H43" s="6" t="n"/>
    </row>
    <row r="44" ht="18" customHeight="1">
      <c r="A44" s="3" t="inlineStr">
        <is>
          <t>★ The discount rate (Inputs B6) doesn't change the yearly saving, only its capitalized value: $19.4T at 4%, $12.9T at 6% (default), $7.7T at 10% (FY2026).</t>
        </is>
      </c>
    </row>
    <row r="45"/>
    <row r="46" ht="20" customHeight="1">
      <c r="A46" s="5" t="inlineStr">
        <is>
          <t>TAKEAWAY</t>
        </is>
      </c>
      <c r="B46" s="6" t="n"/>
      <c r="C46" s="6" t="n"/>
      <c r="D46" s="6" t="n"/>
      <c r="E46" s="6" t="n"/>
      <c r="F46" s="6" t="n"/>
      <c r="G46" s="6" t="n"/>
      <c r="H46" s="6" t="n"/>
    </row>
    <row r="47" ht="33" customHeight="1">
      <c r="A47" s="3" t="inlineStr">
        <is>
          <t>The answer is driven by how much these firms spend on AI (the data-centre bucket and whether it follows the fleet, then the chip shares) more than by how large the Helarctos multiples are. The Helarctos levers move it only if they fall far below today's values — e.g. a smaller-model advantage of ×2 instead of ×4.2.</t>
        </is>
      </c>
    </row>
  </sheetData>
  <mergeCells count="3">
    <mergeCell ref="A2:H2"/>
    <mergeCell ref="A44:H44"/>
    <mergeCell ref="A47:H47"/>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78" customHeight="1">
      <c r="A3" s="46" t="inlineStr">
        <is>
          <t>Total capex ($B)</t>
        </is>
      </c>
      <c r="B3" s="78" t="n">
        <v>190</v>
      </c>
      <c r="C3" s="79" t="n">
        <v>88</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6" t="inlineStr">
        <is>
          <t>Infra / data-center share ★</t>
        </is>
      </c>
      <c r="B4" s="80" t="n">
        <v>0.97</v>
      </c>
      <c r="C4" s="80" t="n">
        <v>0.97</v>
      </c>
      <c r="D4" s="3" t="inlineStr">
        <is>
          <t>FILING: P&amp;E note (FY25/FY26 10-K). Leasehold improvements, the only non-datacenter class, are $2.5B of $86.6B (FY25) and $4.2B of $133.1B (FY26) of gross additions -&gt; 97%.</t>
        </is>
      </c>
    </row>
    <row r="5" ht="18" customHeight="1">
      <c r="A5" s="46" t="inlineStr">
        <is>
          <t>Server / short-lived share ★</t>
        </is>
      </c>
      <c r="B5" s="80" t="n">
        <v>0.67</v>
      </c>
      <c r="C5" s="80" t="n">
        <v>0.5</v>
      </c>
      <c r="D5" s="3" t="inlineStr">
        <is>
          <t>CFO-disclosed (MSFT rose 50%-&gt;67%)</t>
        </is>
      </c>
    </row>
    <row r="6" ht="18" customHeight="1">
      <c r="A6" s="46" t="inlineStr">
        <is>
          <t>Accelerator share within servers ★</t>
        </is>
      </c>
      <c r="B6" s="80" t="n">
        <v>0.75</v>
      </c>
      <c r="C6" s="80" t="n">
        <v>0.75</v>
      </c>
      <c r="D6" s="3" t="inlineStr">
        <is>
          <t>from BOM teardowns (~67-80%)</t>
        </is>
      </c>
    </row>
    <row r="7" ht="18" customHeight="1">
      <c r="A7" s="46" t="inlineStr">
        <is>
          <t>Market cap ($B, approx)</t>
        </is>
      </c>
      <c r="B7" s="81" t="n">
        <v>3700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50</v>
      </c>
      <c r="C32" s="78" t="n">
        <v>30</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7" t="inlineStr">
        <is>
          <t>https://www.sec.gov/Archives/edgar/data/789019/000095017025100235/msft-20250630.htm</t>
        </is>
      </c>
    </row>
    <row r="42" ht="48" customHeight="1">
      <c r="A42" s="3" t="inlineStr">
        <is>
          <t>FY26 ~$190B guide; 'two-thirds' short-lived = GPUs+CPUs (Q3 FY26 call)</t>
        </is>
      </c>
      <c r="B42" s="87" t="inlineStr">
        <is>
          <t>https://www.fool.com/earnings/call-transcripts/2026/04/29/microsoft-msft-q3-2026-earnings-transcript/</t>
        </is>
      </c>
    </row>
    <row r="43" ht="33" customHeight="1">
      <c r="A43" s="3" t="inlineStr">
        <is>
          <t>AI revenue $37B annual run-rate (Q3 FY26)</t>
        </is>
      </c>
      <c r="B43" s="87" t="inlineStr">
        <is>
          <t>https://news.alphastreet.com/microsoft-msft-q3-fy2026-azure-hits-40-growth-as-ai-business-reaches-37-billion-run-rate/</t>
        </is>
      </c>
    </row>
    <row r="44" ht="33" customHeight="1">
      <c r="A44" s="3" t="inlineStr">
        <is>
          <t>~485k Hopper GPUs / ~$31B in 2024 (Omdia) - cross-checks accel capex</t>
        </is>
      </c>
      <c r="B44" s="87"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48" customHeight="1">
      <c r="A3" s="46" t="inlineStr">
        <is>
          <t>Total capex ($B)</t>
        </is>
      </c>
      <c r="B3" s="78" t="n">
        <v>185</v>
      </c>
      <c r="C3" s="79" t="n">
        <v>91.40000000000001</v>
      </c>
      <c r="D3" s="3" t="inlineStr">
        <is>
          <t>FY25 capex $91.4B [DISCLOSED]; FY26 $180-190B guide. 60% servers / 40% DC (CFO). Accel ~67% [BOM]. AI rev ESTIMATE (Cloud $70B run-rate, AI subset).</t>
        </is>
      </c>
    </row>
    <row r="4" ht="48" customHeight="1">
      <c r="A4" s="46" t="inlineStr">
        <is>
          <t>Infra / data-center share ★</t>
        </is>
      </c>
      <c r="B4" s="80" t="n">
        <v>0.95</v>
      </c>
      <c r="C4" s="80" t="n">
        <v>0.93</v>
      </c>
      <c r="D4" s="3" t="inlineStr">
        <is>
          <t>FILING: P&amp;E note. Technical infrastructure +$61.8B vs office space +$2.9B and corporate +$1.9B in 2025 (10-K) -&gt; 93%; +$43.5B vs +$2.3B office in H1 2026 (10-Q) -&gt; 95%.</t>
        </is>
      </c>
    </row>
    <row r="5" ht="18" customHeight="1">
      <c r="A5" s="46" t="inlineStr">
        <is>
          <t>Server / short-lived share ★</t>
        </is>
      </c>
      <c r="B5" s="80" t="n">
        <v>0.6</v>
      </c>
      <c r="C5" s="80" t="n">
        <v>0.6</v>
      </c>
      <c r="D5" s="3" t="inlineStr">
        <is>
          <t>CFO-disclosed (MSFT rose 50%-&gt;67%)</t>
        </is>
      </c>
    </row>
    <row r="6" ht="18" customHeight="1">
      <c r="A6" s="46" t="inlineStr">
        <is>
          <t>Accelerator share within servers ★</t>
        </is>
      </c>
      <c r="B6" s="80" t="n">
        <v>0.67</v>
      </c>
      <c r="C6" s="80" t="n">
        <v>0.67</v>
      </c>
      <c r="D6" s="3" t="inlineStr">
        <is>
          <t>from BOM teardowns (~67-80%)</t>
        </is>
      </c>
    </row>
    <row r="7" ht="18" customHeight="1">
      <c r="A7" s="46" t="inlineStr">
        <is>
          <t>Market cap ($B, approx)</t>
        </is>
      </c>
      <c r="B7" s="81" t="n">
        <v>4250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40</v>
      </c>
      <c r="C32" s="78" t="n">
        <v>25</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7" t="inlineStr">
        <is>
          <t>https://www.fool.com/earnings/call-transcripts/2026/02/04/alphabet-googl-q4-2025-earnings-call-transcript/</t>
        </is>
      </c>
    </row>
    <row r="42" ht="18" customHeight="1">
      <c r="A42" s="3" t="inlineStr">
        <is>
          <t>FY26 guide $180-190B (Q1'26)</t>
        </is>
      </c>
      <c r="B42" s="87" t="inlineStr">
        <is>
          <t>https://www.cnbc.com/2026/04/29/alphabet-googl-q1-2026-earnings.html</t>
        </is>
      </c>
    </row>
    <row r="43" ht="33" customHeight="1">
      <c r="A43" s="3" t="inlineStr">
        <is>
          <t>Server life 6yr; TPU at-cost TCO 20-50% below NVIDIA (SemiAnalysis)</t>
        </is>
      </c>
      <c r="B43" s="87"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63" customHeight="1">
      <c r="A3" s="46" t="inlineStr">
        <is>
          <t>Total capex ($B)</t>
        </is>
      </c>
      <c r="B3" s="78" t="n">
        <v>220</v>
      </c>
      <c r="C3" s="79" t="n">
        <v>128.3</v>
      </c>
      <c r="D3" s="3" t="inlineStr">
        <is>
          <t>FY25 cash capex $128.3B [DISCLOSED]; FY26 raised to ~$220B (Q2'26, 2026-07-30). AWS ~68-70% -&gt; strips fulfillment. Accel ~67% [BOM]. AI rev &gt;$15B AWS run-rate (Q1 FY26, Jassy).</t>
        </is>
      </c>
    </row>
    <row r="4" ht="48" customHeight="1">
      <c r="A4" s="46" t="inlineStr">
        <is>
          <t>Infra / data-center share ★</t>
        </is>
      </c>
      <c r="B4" s="80" t="n">
        <v>0.76</v>
      </c>
      <c r="C4" s="80" t="n">
        <v>0.68</v>
      </c>
      <c r="D4" s="3" t="inlineStr">
        <is>
          <t>FILING: segment note, AWS share of net P&amp;E additions. $96.5B of $142.4B in 2025 (10-K) -&gt; 68%; $90.1B of $118.6B in H1 2026 (10-Q) -&gt; 76%. Strips fulfillment/logistics.</t>
        </is>
      </c>
    </row>
    <row r="5" ht="18" customHeight="1">
      <c r="A5" s="46" t="inlineStr">
        <is>
          <t>Server / short-lived share ★</t>
        </is>
      </c>
      <c r="B5" s="80" t="n">
        <v>0.65</v>
      </c>
      <c r="C5" s="80" t="n">
        <v>0.65</v>
      </c>
      <c r="D5" s="3" t="inlineStr">
        <is>
          <t>CFO-disclosed (MSFT rose 50%-&gt;67%)</t>
        </is>
      </c>
    </row>
    <row r="6" ht="18" customHeight="1">
      <c r="A6" s="46" t="inlineStr">
        <is>
          <t>Accelerator share within servers ★</t>
        </is>
      </c>
      <c r="B6" s="80" t="n">
        <v>0.67</v>
      </c>
      <c r="C6" s="80" t="n">
        <v>0.67</v>
      </c>
      <c r="D6" s="3" t="inlineStr">
        <is>
          <t>from BOM teardowns (~67-80%)</t>
        </is>
      </c>
    </row>
    <row r="7" ht="18" customHeight="1">
      <c r="A7" s="46" t="inlineStr">
        <is>
          <t>Market cap ($B, approx)</t>
        </is>
      </c>
      <c r="B7" s="81" t="n">
        <v>2830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22</v>
      </c>
      <c r="C32" s="78" t="n">
        <v>12</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7" t="inlineStr">
        <is>
          <t>https://www.sec.gov/Archives/edgar/data/1018724/000101872426000004/amzn-20251231.htm</t>
        </is>
      </c>
    </row>
    <row r="42" ht="33" customHeight="1">
      <c r="A42" s="3" t="inlineStr">
        <is>
          <t>~$200B 2026 capex, 'predominantly AWS' (Q4'25 call)</t>
        </is>
      </c>
      <c r="B42" s="87" t="inlineStr">
        <is>
          <t>https://www.fool.com/earnings/call-transcripts/2026/02/05/amazon-amzn-q4-2025-earnings-call-transcript/</t>
        </is>
      </c>
    </row>
    <row r="43" ht="33" customHeight="1">
      <c r="A43" s="3" t="inlineStr">
        <is>
          <t>AWS AI revenue &gt;$15B annual run-rate (Q1'26, Jassy)</t>
        </is>
      </c>
      <c r="B43" s="87"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63" customHeight="1">
      <c r="A3" s="46" t="inlineStr">
        <is>
          <t>Total capex ($B)</t>
        </is>
      </c>
      <c r="B3" s="78" t="n">
        <v>137.5</v>
      </c>
      <c r="C3" s="79" t="n">
        <v>72.2</v>
      </c>
      <c r="D3" s="3" t="inlineStr">
        <is>
          <t>FY25 capex incl leases $72.2B [DISCLOSED]; FY26 $130-145B guide (mid 137.5). Accel ~74% [BOM]. AI rev DIRECT est ~$4B -- Meta's real AI payoff is INDIRECT ad-uplift (~$20B), not counted.</t>
        </is>
      </c>
    </row>
    <row r="4" ht="48" customHeight="1">
      <c r="A4" s="46" t="inlineStr">
        <is>
          <t>Infra / data-center share ★</t>
        </is>
      </c>
      <c r="B4" s="80" t="n">
        <v>0.98</v>
      </c>
      <c r="C4" s="80" t="n">
        <v>0.95</v>
      </c>
      <c r="D4" s="3" t="inlineStr">
        <is>
          <t>FILING: Note 6 P&amp;E. Leasehold improvements + equipment and other are $3.3B of $69.1B gross additions in 2025 (10-K) -&gt; 95%; $0.95B of $59.1B in H1 2026 (10-Q) -&gt; 98%.</t>
        </is>
      </c>
    </row>
    <row r="5" ht="18" customHeight="1">
      <c r="A5" s="46" t="inlineStr">
        <is>
          <t>Server / short-lived share ★</t>
        </is>
      </c>
      <c r="B5" s="80" t="n">
        <v>0.65</v>
      </c>
      <c r="C5" s="80" t="n">
        <v>0.65</v>
      </c>
      <c r="D5" s="3" t="inlineStr">
        <is>
          <t>CFO-disclosed (MSFT rose 50%-&gt;67%)</t>
        </is>
      </c>
    </row>
    <row r="6" ht="18" customHeight="1">
      <c r="A6" s="46" t="inlineStr">
        <is>
          <t>Accelerator share within servers ★</t>
        </is>
      </c>
      <c r="B6" s="80" t="n">
        <v>0.74</v>
      </c>
      <c r="C6" s="80" t="n">
        <v>0.74</v>
      </c>
      <c r="D6" s="3" t="inlineStr">
        <is>
          <t>from BOM teardowns (~67-80%)</t>
        </is>
      </c>
    </row>
    <row r="7" ht="18" customHeight="1">
      <c r="A7" s="46" t="inlineStr">
        <is>
          <t>Market cap ($B, approx)</t>
        </is>
      </c>
      <c r="B7" s="81" t="n">
        <v>1490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8</v>
      </c>
      <c r="C32" s="78" t="n">
        <v>4</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7" t="inlineStr">
        <is>
          <t>https://investor.atmeta.com/investor-news/press-release-details/2026/Meta-Reports-Fourth-Quarter-and-Full-Year-2025-Results/default.aspx</t>
        </is>
      </c>
    </row>
    <row r="42" ht="33" customHeight="1">
      <c r="A42" s="3" t="inlineStr">
        <is>
          <t>FY26 $125-145B guide; raise driven by HBM pricing (Q1'26 call)</t>
        </is>
      </c>
      <c r="B42" s="87" t="inlineStr">
        <is>
          <t>https://www.fool.com/earnings/call-transcripts/2026/04/29/meta-meta-q1-2026-earnings-call-transcript/</t>
        </is>
      </c>
    </row>
    <row r="43" ht="33" customHeight="1">
      <c r="A43" s="3" t="inlineStr">
        <is>
          <t>&gt;1.3M GPUs by end-2025 (Zuckerberg) - cross-checks accel capex</t>
        </is>
      </c>
      <c r="B43" s="87" t="inlineStr">
        <is>
          <t>https://techcrunch.com/2025/01/24/mark-zuckerberg-says-meta-will-have-1-3m-gpus-for-ai-by-year-end/</t>
        </is>
      </c>
    </row>
    <row r="44" ht="33" customHeight="1">
      <c r="A44" s="3" t="inlineStr">
        <is>
          <t>Server life 5.5yr (-$2.9B depreciation)</t>
        </is>
      </c>
      <c r="B44" s="87" t="inlineStr">
        <is>
          <t>https://www.thestack.technology/meta-extends-server-life-again-saving-it-2-9-billion/</t>
        </is>
      </c>
    </row>
    <row r="45" ht="33" customHeight="1">
      <c r="A45" s="3" t="inlineStr">
        <is>
          <t>~25% of capex to NVIDIA (Bloomberg) - accel-share basis</t>
        </is>
      </c>
      <c r="B45" s="87"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78" customHeight="1">
      <c r="A3" s="46" t="inlineStr">
        <is>
          <t>Total capex ($B)</t>
        </is>
      </c>
      <c r="B3" s="78" t="n">
        <v>55.7</v>
      </c>
      <c r="C3" s="79" t="n">
        <v>21.2</v>
      </c>
      <c r="D3" s="3" t="inlineStr">
        <is>
          <t>FY25 capex $21.2B [DISCLOSED 10-K]; FY26 ACTUAL $55.7B (reported 2026-06-10; FY27 guide ~$70B net / up to $95B gross). Capex ~all OCI/GPU data centers. Accel ~70% [BOM]. AI rev = OCI/GPU cloud (IaaS ~$12B r/r Q4 FY25; AI subset, EST).</t>
        </is>
      </c>
    </row>
    <row r="4" ht="63" customHeight="1">
      <c r="A4" s="46" t="inlineStr">
        <is>
          <t>Infra / data-center share ★</t>
        </is>
      </c>
      <c r="B4" s="80" t="n">
        <v>0.9</v>
      </c>
      <c r="C4" s="80" t="n">
        <v>0.85</v>
      </c>
      <c r="D4" s="3" t="inlineStr">
        <is>
          <t>ESTIMATE: the P&amp;E note has no office line (buildings mix datacenters with the Nashville HQ build); capex growth is 'primarily due to the expansion of our data centers' (FY26 10-K).</t>
        </is>
      </c>
    </row>
    <row r="5" ht="18" customHeight="1">
      <c r="A5" s="46" t="inlineStr">
        <is>
          <t>Server / short-lived share ★</t>
        </is>
      </c>
      <c r="B5" s="80" t="n">
        <v>0.75</v>
      </c>
      <c r="C5" s="80" t="n">
        <v>0.75</v>
      </c>
      <c r="D5" s="3" t="inlineStr">
        <is>
          <t>CFO-disclosed (MSFT rose 50%-&gt;67%)</t>
        </is>
      </c>
    </row>
    <row r="6" ht="18" customHeight="1">
      <c r="A6" s="46" t="inlineStr">
        <is>
          <t>Accelerator share within servers ★</t>
        </is>
      </c>
      <c r="B6" s="80" t="n">
        <v>0.7</v>
      </c>
      <c r="C6" s="80" t="n">
        <v>0.7</v>
      </c>
      <c r="D6" s="3" t="inlineStr">
        <is>
          <t>from BOM teardowns (~67-80%)</t>
        </is>
      </c>
    </row>
    <row r="7" ht="18" customHeight="1">
      <c r="A7" s="46" t="inlineStr">
        <is>
          <t>Market cap ($B, approx)</t>
        </is>
      </c>
      <c r="B7" s="81" t="n">
        <v>433</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15</v>
      </c>
      <c r="C32" s="78" t="n">
        <v>8</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7" t="inlineStr">
        <is>
          <t>https://www.ciodive.com/news/oracle-capex-spike-cloud-ai-data-center/807721/</t>
        </is>
      </c>
    </row>
    <row r="42" ht="48" customHeight="1">
      <c r="A42" s="3" t="inlineStr">
        <is>
          <t>OCI run-rate ~$27B exiting FY25; IaaS $3.0B Q4 +52%; RPO $138B (Q4 FY25)</t>
        </is>
      </c>
      <c r="B42" s="87" t="inlineStr">
        <is>
          <t>https://futurumgroup.com/insights/oracle-delivers-q4-fy-2025-results-with-27-cloud-growth-rpo-hits-138-billion/</t>
        </is>
      </c>
    </row>
    <row r="43" ht="33" customHeight="1">
      <c r="A43" s="3" t="inlineStr">
        <is>
          <t>FY26 OCI +77% to ~$18B; RPO $523B +433% on AI deals (Q2 FY26)</t>
        </is>
      </c>
      <c r="B43" s="87"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93" customHeight="1">
      <c r="A3" s="46" t="inlineStr">
        <is>
          <t>Total capex ($B)</t>
        </is>
      </c>
      <c r="B3" s="78" t="n">
        <v>55</v>
      </c>
      <c r="C3" s="79" t="n">
        <v>12.7</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6" t="inlineStr">
        <is>
          <t>Infra / data-center share ★</t>
        </is>
      </c>
      <c r="B4" s="80" t="n">
        <v>1</v>
      </c>
      <c r="C4" s="80" t="n">
        <v>1</v>
      </c>
      <c r="D4" s="3" t="inlineStr">
        <is>
          <t>FILING: capex is the AI segment's own figure (S-1; Q2 2026 10-Q segment note, $23.6B in H1 2026).</t>
        </is>
      </c>
    </row>
    <row r="5" ht="18" customHeight="1">
      <c r="A5" s="46" t="inlineStr">
        <is>
          <t>Server / short-lived share ★</t>
        </is>
      </c>
      <c r="B5" s="80" t="n">
        <v>0.79</v>
      </c>
      <c r="C5" s="80" t="n">
        <v>0.79</v>
      </c>
      <c r="D5" s="3" t="inlineStr">
        <is>
          <t>CFO-disclosed (MSFT rose 50%-&gt;67%)</t>
        </is>
      </c>
    </row>
    <row r="6" ht="18" customHeight="1">
      <c r="A6" s="46" t="inlineStr">
        <is>
          <t>Accelerator share within servers ★</t>
        </is>
      </c>
      <c r="B6" s="80" t="n">
        <v>1</v>
      </c>
      <c r="C6" s="80" t="n">
        <v>1</v>
      </c>
      <c r="D6" s="3" t="inlineStr">
        <is>
          <t>from BOM teardowns (~67-80%)</t>
        </is>
      </c>
    </row>
    <row r="7" ht="18" customHeight="1">
      <c r="A7" s="46" t="inlineStr">
        <is>
          <t>Market cap ($B, approx)</t>
        </is>
      </c>
      <c r="B7" s="81" t="n">
        <v>1950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1</v>
      </c>
      <c r="C32" s="78" t="n">
        <v>0.3</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7" t="inlineStr">
        <is>
          <t>https://www.sec.gov/Archives/edgar/data/1181412/000162828026036936/spaceexplorationtechnologi.htm</t>
        </is>
      </c>
    </row>
    <row r="42" ht="33" customHeight="1">
      <c r="A42" s="3" t="inlineStr">
        <is>
          <t>S-1 financials &amp; AI breakdown (Hargreaves Lansdown)</t>
        </is>
      </c>
      <c r="B42" s="87" t="inlineStr">
        <is>
          <t>https://www.hl.co.uk/news/inside-spacexs-ipo-filing-revenue-starlink-ai-and-key-financials</t>
        </is>
      </c>
    </row>
    <row r="43" ht="33" customHeight="1">
      <c r="A43" s="3" t="inlineStr">
        <is>
          <t>$12.7B AI capex = ~60% of capex; COLOSSUS buildout (Investing.com)</t>
        </is>
      </c>
      <c r="B43" s="87" t="inlineStr">
        <is>
          <t>https://www.investing.com/analysis/spacex-is-quietly-becoming-an-ai-compute-and-orbital-infrastructure-company-200681776</t>
        </is>
      </c>
    </row>
    <row r="44" ht="48" customHeight="1">
      <c r="A44" s="3" t="inlineStr">
        <is>
          <t>AI1 orbital data centers; Anthropic as compute customer (DCD)</t>
        </is>
      </c>
      <c r="B44" s="87"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8" t="inlineStr">
        <is>
          <t>6-COMPANY AI ECONOMICS (FY2026) — TECHNICAL LEDGER: accelerators + power only, Amdahl-weighted (legacy). The headline is the value bridge on Summary.</t>
        </is>
      </c>
      <c r="B1" s="89" t="n"/>
      <c r="C1" s="89" t="n"/>
      <c r="D1" s="89" t="n"/>
      <c r="E1" s="89" t="n"/>
      <c r="F1" s="89" t="n"/>
      <c r="G1" s="89" t="n"/>
      <c r="H1" s="89" t="n"/>
    </row>
    <row r="2" ht="63" customHeight="1">
      <c r="A2" s="90"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8" t="inlineStr">
        <is>
          <t>NET AI ECONOMICS — FY2026, the base year (cash basis: AI revenue - AI capex - AI opex)</t>
        </is>
      </c>
      <c r="B4" s="89" t="n"/>
      <c r="C4" s="89" t="n"/>
      <c r="D4" s="89" t="n"/>
      <c r="E4" s="89" t="n"/>
      <c r="F4" s="89" t="n"/>
      <c r="G4" s="89" t="n"/>
      <c r="H4" s="89" t="n"/>
    </row>
    <row r="5" ht="48" customHeight="1">
      <c r="A5" s="52" t="inlineStr">
        <is>
          <t>Company</t>
        </is>
      </c>
      <c r="B5" s="52" t="inlineStr">
        <is>
          <t>AI revenue ($B)</t>
        </is>
      </c>
      <c r="C5" s="52" t="inlineStr">
        <is>
          <t>AI capex ($B)</t>
        </is>
      </c>
      <c r="D5" s="52" t="inlineStr">
        <is>
          <t>AI opex ($B)</t>
        </is>
      </c>
      <c r="E5" s="52" t="inlineStr">
        <is>
          <t>Net AI NOW ($B)</t>
        </is>
      </c>
      <c r="F5" s="52" t="inlineStr">
        <is>
          <t>Spend cut with Helarctos ($B)</t>
        </is>
      </c>
      <c r="G5" s="52" t="inlineStr">
        <is>
          <t>Net AI with Helarctos ($B)</t>
        </is>
      </c>
      <c r="H5" s="52" t="inlineStr">
        <is>
          <t>% spend cut</t>
        </is>
      </c>
    </row>
    <row r="6">
      <c r="A6" t="inlineStr">
        <is>
          <t>Microsoft</t>
        </is>
      </c>
      <c r="B6" s="91">
        <f>Microsoft!$B$32</f>
        <v/>
      </c>
      <c r="C6" s="91">
        <f>Microsoft!$B$33</f>
        <v/>
      </c>
      <c r="D6" s="91">
        <f>Microsoft!$B$34</f>
        <v/>
      </c>
      <c r="E6" s="92">
        <f>Microsoft!$B$35</f>
        <v/>
      </c>
      <c r="F6" s="91">
        <f>Microsoft!$B$36</f>
        <v/>
      </c>
      <c r="G6" s="92">
        <f>Microsoft!$B$37</f>
        <v/>
      </c>
      <c r="H6" s="93">
        <f>Microsoft!$B$38</f>
        <v/>
      </c>
    </row>
    <row r="7">
      <c r="A7" t="inlineStr">
        <is>
          <t>Alphabet</t>
        </is>
      </c>
      <c r="B7" s="91">
        <f>Alphabet!$B$32</f>
        <v/>
      </c>
      <c r="C7" s="91">
        <f>Alphabet!$B$33</f>
        <v/>
      </c>
      <c r="D7" s="91">
        <f>Alphabet!$B$34</f>
        <v/>
      </c>
      <c r="E7" s="92">
        <f>Alphabet!$B$35</f>
        <v/>
      </c>
      <c r="F7" s="91">
        <f>Alphabet!$B$36</f>
        <v/>
      </c>
      <c r="G7" s="92">
        <f>Alphabet!$B$37</f>
        <v/>
      </c>
      <c r="H7" s="93">
        <f>Alphabet!$B$38</f>
        <v/>
      </c>
    </row>
    <row r="8">
      <c r="A8" t="inlineStr">
        <is>
          <t>Amazon</t>
        </is>
      </c>
      <c r="B8" s="91">
        <f>Amazon!$B$32</f>
        <v/>
      </c>
      <c r="C8" s="91">
        <f>Amazon!$B$33</f>
        <v/>
      </c>
      <c r="D8" s="91">
        <f>Amazon!$B$34</f>
        <v/>
      </c>
      <c r="E8" s="92">
        <f>Amazon!$B$35</f>
        <v/>
      </c>
      <c r="F8" s="91">
        <f>Amazon!$B$36</f>
        <v/>
      </c>
      <c r="G8" s="92">
        <f>Amazon!$B$37</f>
        <v/>
      </c>
      <c r="H8" s="93">
        <f>Amazon!$B$38</f>
        <v/>
      </c>
    </row>
    <row r="9">
      <c r="A9" t="inlineStr">
        <is>
          <t>Meta</t>
        </is>
      </c>
      <c r="B9" s="91">
        <f>Meta!$B$32</f>
        <v/>
      </c>
      <c r="C9" s="91">
        <f>Meta!$B$33</f>
        <v/>
      </c>
      <c r="D9" s="91">
        <f>Meta!$B$34</f>
        <v/>
      </c>
      <c r="E9" s="92">
        <f>Meta!$B$35</f>
        <v/>
      </c>
      <c r="F9" s="91">
        <f>Meta!$B$36</f>
        <v/>
      </c>
      <c r="G9" s="92">
        <f>Meta!$B$37</f>
        <v/>
      </c>
      <c r="H9" s="93">
        <f>Meta!$B$38</f>
        <v/>
      </c>
    </row>
    <row r="10">
      <c r="A10" t="inlineStr">
        <is>
          <t>Oracle</t>
        </is>
      </c>
      <c r="B10" s="91">
        <f>Oracle!$B$32</f>
        <v/>
      </c>
      <c r="C10" s="91">
        <f>Oracle!$B$33</f>
        <v/>
      </c>
      <c r="D10" s="91">
        <f>Oracle!$B$34</f>
        <v/>
      </c>
      <c r="E10" s="92">
        <f>Oracle!$B$35</f>
        <v/>
      </c>
      <c r="F10" s="91">
        <f>Oracle!$B$36</f>
        <v/>
      </c>
      <c r="G10" s="92">
        <f>Oracle!$B$37</f>
        <v/>
      </c>
      <c r="H10" s="93">
        <f>Oracle!$B$38</f>
        <v/>
      </c>
    </row>
    <row r="11">
      <c r="A11" t="inlineStr">
        <is>
          <t>SpaceX</t>
        </is>
      </c>
      <c r="B11" s="91">
        <f>SpaceX!$B$32</f>
        <v/>
      </c>
      <c r="C11" s="91">
        <f>SpaceX!$B$33</f>
        <v/>
      </c>
      <c r="D11" s="91">
        <f>SpaceX!$B$34</f>
        <v/>
      </c>
      <c r="E11" s="92">
        <f>SpaceX!$B$35</f>
        <v/>
      </c>
      <c r="F11" s="91">
        <f>SpaceX!$B$36</f>
        <v/>
      </c>
      <c r="G11" s="92">
        <f>SpaceX!$B$37</f>
        <v/>
      </c>
      <c r="H11" s="93">
        <f>SpaceX!$B$38</f>
        <v/>
      </c>
    </row>
    <row r="12">
      <c r="A12" s="94" t="inlineStr">
        <is>
          <t>TOTAL (6)</t>
        </is>
      </c>
      <c r="B12" s="95">
        <f>SUM(B6:B11)</f>
        <v/>
      </c>
      <c r="C12" s="95">
        <f>SUM(C6:C11)</f>
        <v/>
      </c>
      <c r="D12" s="95">
        <f>SUM(D6:D11)</f>
        <v/>
      </c>
      <c r="E12" s="95">
        <f>SUM(E6:E11)</f>
        <v/>
      </c>
      <c r="F12" s="95">
        <f>SUM(F6:F11)</f>
        <v/>
      </c>
      <c r="G12" s="95">
        <f>SUM(G6:G11)</f>
        <v/>
      </c>
      <c r="H12" s="96">
        <f>F12/(C12+D12)</f>
        <v/>
      </c>
    </row>
    <row r="13">
      <c r="A13" s="94" t="inlineStr">
        <is>
          <t>FY2025 (last year)</t>
        </is>
      </c>
      <c r="E13" s="97">
        <f>SUM(Microsoft!$C$35,Alphabet!$C$35,Amazon!$C$35,Meta!$C$35,Oracle!$C$35,SpaceX!$C$35)</f>
        <v/>
      </c>
      <c r="F13" s="97">
        <f>SUM(Microsoft!$C$36,Alphabet!$C$36,Amazon!$C$36,Meta!$C$36,Oracle!$C$36,SpaceX!$C$36)</f>
        <v/>
      </c>
      <c r="G13" s="97">
        <f>SUM(Microsoft!$C$37,Alphabet!$C$37,Amazon!$C$37,Meta!$C$37,Oracle!$C$37,SpaceX!$C$37)</f>
        <v/>
      </c>
      <c r="H13" s="98">
        <f>SUM(Microsoft!$C$36,Alphabet!$C$36,Amazon!$C$36,Meta!$C$36,Oracle!$C$36,SpaceX!$C$36)/(SUM(Microsoft!$C$33,Alphabet!$C$33,Amazon!$C$33,Meta!$C$33,Oracle!$C$33,SpaceX!$C$33)+SUM(Microsoft!$C$34,Alphabet!$C$34,Amazon!$C$34,Meta!$C$34,Oracle!$C$34,SpaceX!$C$34))</f>
        <v/>
      </c>
    </row>
    <row r="14">
      <c r="A14" s="94" t="inlineStr">
        <is>
          <t>FY2027 (STREET-EST prediction, static)</t>
        </is>
      </c>
      <c r="E14" s="97" t="n">
        <v>-965.31954533368</v>
      </c>
      <c r="F14" s="97" t="n">
        <v>577.286926243463</v>
      </c>
      <c r="G14" s="97" t="n">
        <v>-388.032619090217</v>
      </c>
      <c r="H14" s="98" t="n">
        <v>0.4939059485685247</v>
      </c>
    </row>
    <row r="15"/>
    <row r="16">
      <c r="A16" s="88" t="inlineStr">
        <is>
          <t>SAVINGS BREAKDOWN — the spend cut, split</t>
        </is>
      </c>
      <c r="B16" s="89" t="n"/>
      <c r="C16" s="89" t="n"/>
      <c r="D16" s="89" t="n"/>
      <c r="E16" s="89" t="n"/>
      <c r="F16" s="89" t="n"/>
      <c r="G16" s="89" t="n"/>
      <c r="H16" s="89" t="n"/>
    </row>
    <row r="17" ht="48" customHeight="1">
      <c r="A17" s="90" t="inlineStr">
        <is>
          <t>Cost-weighted reduction (Amdahl)</t>
        </is>
      </c>
      <c r="B17" s="99">
        <f>Inputs!$B$20</f>
        <v/>
      </c>
      <c r="C17" t="inlineStr">
        <is>
          <t>x</t>
        </is>
      </c>
    </row>
    <row r="18"/>
    <row r="19" ht="48" customHeight="1">
      <c r="B19" s="94" t="inlineStr">
        <is>
          <t>Saved OPEX</t>
        </is>
      </c>
      <c r="C19" s="52" t="inlineStr">
        <is>
          <t>Avoided CAPEX (Overspend)</t>
        </is>
      </c>
      <c r="D19" s="94" t="inlineStr">
        <is>
          <t>Total</t>
        </is>
      </c>
    </row>
    <row r="20" ht="33" customHeight="1">
      <c r="A20" s="90" t="inlineStr">
        <is>
          <t>FY2026 annual ($B/yr)</t>
        </is>
      </c>
      <c r="B20" s="91">
        <f>SUM(Microsoft!B26,Alphabet!B26,Amazon!B26,Meta!B26,Oracle!B26,SpaceX!B26)/1000</f>
        <v/>
      </c>
      <c r="C20" s="91">
        <f>SUM(Microsoft!B25,Alphabet!B25,Amazon!B25,Meta!B25,Oracle!B25,SpaceX!B25)</f>
        <v/>
      </c>
      <c r="D20" s="91">
        <f>B20+C20</f>
        <v/>
      </c>
    </row>
    <row r="21" ht="33" customHeight="1">
      <c r="A21" s="52" t="inlineStr">
        <is>
          <t>FY2026 capitalized ($B)</t>
        </is>
      </c>
      <c r="B21" s="100">
        <f>B20/Inputs!$B$6</f>
        <v/>
      </c>
      <c r="C21" s="100">
        <f>C20/Inputs!$B$6</f>
        <v/>
      </c>
      <c r="D21" s="100">
        <f>B21+C21</f>
        <v/>
      </c>
    </row>
    <row r="22" ht="48" customHeight="1">
      <c r="A22" s="90" t="inlineStr">
        <is>
          <t>FY2025 annual, last year ($B/yr)</t>
        </is>
      </c>
      <c r="B22" s="91">
        <f>SUM(Microsoft!C26,Alphabet!C26,Amazon!C26,Meta!C26,Oracle!C26,SpaceX!C26)/1000</f>
        <v/>
      </c>
      <c r="C22" s="91">
        <f>SUM(Microsoft!C25,Alphabet!C25,Amazon!C25,Meta!C25,Oracle!C25,SpaceX!C25)</f>
        <v/>
      </c>
      <c r="D22" s="91">
        <f>B22+C22</f>
        <v/>
      </c>
    </row>
    <row r="23" ht="33" customHeight="1">
      <c r="A23" s="52" t="inlineStr">
        <is>
          <t>FY2025 capitalized ($B)</t>
        </is>
      </c>
      <c r="B23" s="100">
        <f>B22/Inputs!$B$6</f>
        <v/>
      </c>
      <c r="C23" s="100">
        <f>C22/Inputs!$B$6</f>
        <v/>
      </c>
      <c r="D23" s="100">
        <f>B23+C23</f>
        <v/>
      </c>
    </row>
    <row r="24" ht="213" customHeight="1">
      <c r="A24" s="52" t="inlineStr">
        <is>
          <t>GLOBAL capitalized -- est. ($B): FY2026 | FY2025</t>
        </is>
      </c>
      <c r="B24" s="100">
        <f>D21/Inputs!$B$14</f>
        <v/>
      </c>
      <c r="C24" s="100">
        <f>D23/Inputs!$B$14</f>
        <v/>
      </c>
      <c r="D24" s="90" t="inlineStr">
        <is>
          <t>named-floor capitalized / named-share-of-global (Inputs B14). ESTIMATE: grosses up for other clouds, China, neoclouds, xAI, sovereign.</t>
        </is>
      </c>
    </row>
    <row r="25">
      <c r="A25" t="inlineStr">
        <is>
          <t>% reduction</t>
        </is>
      </c>
      <c r="B25" s="93">
        <f>1-1/Inputs!$B$5</f>
        <v/>
      </c>
      <c r="C25" s="93">
        <f>1-1/Inputs!$B$20</f>
        <v/>
      </c>
    </row>
    <row r="26" ht="78" customHeight="1">
      <c r="A26" s="90" t="inlineStr">
        <is>
          <t>OPEX = power saved each year (recoupable). CAPEX 'Overspend' = AI capex made unnecessary. This LEGACY engine counts accelerators plus the Inputs 'Datacenter scaling factor' share of the rest (0 = accelerator-only; 1 = whole datacenter). The front tabs (Summary, Value Bridge) instead let the servers around the chips and the datacenters FOLLOW the fleet by default (Levers C6 / C34), which is why they read higher. Capitalized = annual / discount rate.</t>
        </is>
      </c>
    </row>
    <row r="27"/>
    <row r="28">
      <c r="A28" s="88" t="inlineStr">
        <is>
          <t>TABS</t>
        </is>
      </c>
      <c r="B28" s="89" t="n"/>
      <c r="C28" s="89" t="n"/>
      <c r="D28" s="89" t="n"/>
      <c r="E28" s="89" t="n"/>
      <c r="F28" s="89" t="n"/>
      <c r="G28" s="89" t="n"/>
      <c r="H28" s="89" t="n"/>
    </row>
    <row r="29" ht="63" customHeight="1">
      <c r="A29" s="52" t="inlineStr">
        <is>
          <t>Summary / Value Bridge / Levers / What Matters</t>
        </is>
      </c>
      <c r="B29" s="90" t="inlineStr">
        <is>
          <t>the plain-language front tabs: headline, training vs inference split, the Helarctos levers H1–H6, what moves the answer</t>
        </is>
      </c>
    </row>
    <row r="30" ht="63" customHeight="1">
      <c r="A30" s="52" t="inlineStr">
        <is>
          <t>Microsoft / Alphabet / Amazon / Meta / Oracle / SpaceX</t>
        </is>
      </c>
      <c r="B30" s="90" t="inlineStr">
        <is>
          <t>one tab each: full build capex -&gt; infra -&gt; servers -&gt; accelerator -&gt; fleet/opex -&gt; value</t>
        </is>
      </c>
    </row>
    <row r="31" ht="18" customHeight="1">
      <c r="A31" s="94" t="inlineStr">
        <is>
          <t>Inputs</t>
        </is>
      </c>
      <c r="B31" s="90" t="inlineStr">
        <is>
          <t>global assumptions + the reduction engine (cost-weighted factor)</t>
        </is>
      </c>
    </row>
    <row r="32" ht="33" customHeight="1">
      <c r="A32" s="94" t="inlineStr">
        <is>
          <t>Sensitivity</t>
        </is>
      </c>
      <c r="B32" s="90" t="inlineStr">
        <is>
          <t>SpaceX value under both pricing methods + how the compute lever varies with context</t>
        </is>
      </c>
    </row>
    <row r="33" ht="18" customHeight="1">
      <c r="A33" s="94" t="inlineStr">
        <is>
          <t>CostLadder</t>
        </is>
      </c>
      <c r="B33" s="90" t="inlineStr">
        <is>
          <t>own-silicon vs buy-NVIDIA vs rent $/GPU-hr</t>
        </is>
      </c>
    </row>
    <row r="34" ht="33" customHeight="1">
      <c r="A34" s="94" t="inlineStr">
        <is>
          <t>ServingTraining</t>
        </is>
      </c>
      <c r="B34" s="90" t="inlineStr">
        <is>
          <t>the serving/training measurement ledger behind the levers — status-tagged (MEASURED / ESTIMATE / TARGET)</t>
        </is>
      </c>
    </row>
    <row r="35" ht="18" customHeight="1">
      <c r="A35" s="94" t="inlineStr">
        <is>
          <t>Evidence</t>
        </is>
      </c>
      <c r="B35" s="90" t="inlineStr">
        <is>
          <t>BOM cost split, accelerator-share data, own-silicon TCO, filing top-lines</t>
        </is>
      </c>
    </row>
    <row r="36" ht="18" customHeight="1">
      <c r="A36" s="94" t="inlineStr">
        <is>
          <t>Methodology</t>
        </is>
      </c>
      <c r="B36" s="90" t="inlineStr">
        <is>
          <t>step-by-step logic, caveats, sources</t>
        </is>
      </c>
    </row>
    <row r="37"/>
    <row r="38" ht="48" customHeight="1">
      <c r="A38" s="52" t="inlineStr">
        <is>
          <t>Legend: teal = Helarctos lever (H1–H6)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34"/>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8" t="inlineStr">
        <is>
          <t>INPUTS — teal = Helarctos lever (H1–H6) · yellow = market / modelling assumption · green = disclosed or market data · blue = formula</t>
        </is>
      </c>
      <c r="B1" s="89" t="n"/>
      <c r="C1" s="89" t="n"/>
      <c r="D1" s="89" t="n"/>
      <c r="E1" s="89" t="n"/>
    </row>
    <row r="2" ht="78" customHeight="1">
      <c r="A2" s="24" t="inlineStr">
        <is>
          <t>H4 · Memory reduction factor</t>
        </is>
      </c>
      <c r="B2" s="101" t="n">
        <v>2032</v>
      </c>
      <c r="C2" t="inlineStr">
        <is>
          <t>x</t>
        </is>
      </c>
      <c r="D2" s="24" t="inlineStr">
        <is>
          <t>Helarctos lever H4</t>
        </is>
      </c>
      <c r="E2" s="90" t="inlineStr">
        <is>
          <t>MEASURED x2,032 at 262k on our test model (2026-08-14): 197 KB of transformer KV per token x 262,144 tokens = 51.6 GB vs a constant 25.4 MB Helarctos state. Caveat: for frontier-size models with grouped-query attention the frontier-geometry estimate is ~x208 at 262k, where memory would bind again (about -$0.5B on FY2026).</t>
        </is>
      </c>
    </row>
    <row r="3" ht="108" customHeight="1">
      <c r="A3" s="24" t="inlineStr">
        <is>
          <t>H1·H5·H6 · FLOPs reduction factor</t>
        </is>
      </c>
      <c r="B3" s="102">
        <f>$B$27</f>
        <v/>
      </c>
      <c r="C3" t="inlineStr">
        <is>
          <t>x</t>
        </is>
      </c>
      <c r="D3" s="24" t="inlineStr">
        <is>
          <t>Helarctos levers H1·H5·H6</t>
        </is>
      </c>
      <c r="E3" s="90" t="inlineStr">
        <is>
          <t>B27 = the inference compute lever at a 262k-token average context, built live: tokens per GPU at EQUAL model size from H5 (B28), H6 (B29) and the active scenario's prompt-processing speed (B26), x the equal-quality size factor (B33 = H1, B23) — a smaller equal-quality model costs proportionally less per token, in inference as in training (2026-10-01). Overtype this cell to pin the lever. See ServingTraining for the measured background.</t>
        </is>
      </c>
    </row>
    <row r="4" ht="33" customHeight="1">
      <c r="A4" t="inlineStr">
        <is>
          <t>Memory share of GPU cost (BOM)</t>
        </is>
      </c>
      <c r="B4" s="103" t="n">
        <v>0.6</v>
      </c>
      <c r="C4" t="inlineStr">
        <is>
          <t>frac</t>
        </is>
      </c>
      <c r="D4" t="inlineStr">
        <is>
          <t>Market data (teardowns)</t>
        </is>
      </c>
      <c r="E4" s="90" t="inlineStr">
        <is>
          <t>HBM ~45% of B200 COGS + most CoWoS packaging -&gt; ~60% memory / ~40% compute. See Evidence.</t>
        </is>
      </c>
    </row>
    <row r="5" ht="33" customHeight="1">
      <c r="A5" t="inlineStr">
        <is>
          <t>Opex / energy reduction factor</t>
        </is>
      </c>
      <c r="B5" s="104">
        <f>B20</f>
        <v/>
      </c>
      <c r="C5" t="inlineStr">
        <is>
          <t>x</t>
        </is>
      </c>
      <c r="D5" t="inlineStr">
        <is>
          <t>Derived</t>
        </is>
      </c>
      <c r="E5" s="90" t="inlineStr">
        <is>
          <t>DERIVED default = cost-weighted reduction (B20): energy splits memory/compute like cost. Overtype this cell to override.</t>
        </is>
      </c>
    </row>
    <row r="6" ht="33" customHeight="1">
      <c r="A6" t="inlineStr">
        <is>
          <t>Discount rate ★</t>
        </is>
      </c>
      <c r="B6" s="105" t="n">
        <v>0.06</v>
      </c>
      <c r="C6" t="inlineStr">
        <is>
          <t>frac</t>
        </is>
      </c>
      <c r="D6" t="inlineStr">
        <is>
          <t>Modelling assumption</t>
        </is>
      </c>
      <c r="E6" s="90" t="inlineStr">
        <is>
          <t>Perpetuity capitalization: value = annual benefit / rate (=16.7x at 6%).</t>
        </is>
      </c>
    </row>
    <row r="7" ht="18" customHeight="1">
      <c r="A7" t="inlineStr">
        <is>
          <t>Fully-loaded cost per GPU</t>
        </is>
      </c>
      <c r="B7" s="106" t="n">
        <v>50000</v>
      </c>
      <c r="C7" t="inlineStr">
        <is>
          <t>$</t>
        </is>
      </c>
      <c r="D7" t="inlineStr">
        <is>
          <t>Market data</t>
        </is>
      </c>
      <c r="E7" s="90" t="inlineStr">
        <is>
          <t>B200-class GPU + share of server, NVLink, networking.</t>
        </is>
      </c>
    </row>
    <row r="8" ht="48" customHeight="1">
      <c r="A8" t="inlineStr">
        <is>
          <t>Wall power per GPU</t>
        </is>
      </c>
      <c r="B8" s="104" t="n">
        <v>2.3</v>
      </c>
      <c r="C8" t="inlineStr">
        <is>
          <t>kW</t>
        </is>
      </c>
      <c r="D8" t="inlineStr">
        <is>
          <t>Market data</t>
        </is>
      </c>
      <c r="E8" s="90" t="inlineStr">
        <is>
          <t>GB200 NVL72: 120-132 kW per rack / 72 GPUs = ~1.7-1.8 kW IT per GPU (incl. CPUs, switches) x PUE ~1.3 = ~2.3 kW. Was 1.8 until 2026-09-29.</t>
        </is>
      </c>
    </row>
    <row r="9" ht="18" customHeight="1">
      <c r="A9" t="inlineStr">
        <is>
          <t>Electricity rate</t>
        </is>
      </c>
      <c r="B9" s="104" t="n">
        <v>0.08</v>
      </c>
      <c r="C9" t="inlineStr">
        <is>
          <t>$/kWh</t>
        </is>
      </c>
      <c r="D9" t="inlineStr">
        <is>
          <t>Market data</t>
        </is>
      </c>
      <c r="E9" s="90" t="inlineStr">
        <is>
          <t>Datacenter wholesale; raise to 0.10-0.12 for grid colo.</t>
        </is>
      </c>
    </row>
    <row r="10" ht="18" customHeight="1">
      <c r="A10" t="inlineStr">
        <is>
          <t>Cooling/ops overhead on energy</t>
        </is>
      </c>
      <c r="B10" s="103" t="n">
        <v>0.25</v>
      </c>
      <c r="C10" t="inlineStr">
        <is>
          <t>frac</t>
        </is>
      </c>
      <c r="D10" t="inlineStr">
        <is>
          <t>Modelling assumption</t>
        </is>
      </c>
      <c r="E10" s="90" t="inlineStr">
        <is>
          <t>Non-power running cost as fraction of electricity.</t>
        </is>
      </c>
    </row>
    <row r="11" ht="18" customHeight="1">
      <c r="A11" t="inlineStr">
        <is>
          <t>Fleet useful life</t>
        </is>
      </c>
      <c r="B11" s="104" t="n">
        <v>4</v>
      </c>
      <c r="C11" t="inlineStr">
        <is>
          <t>yr</t>
        </is>
      </c>
      <c r="D11" t="inlineStr">
        <is>
          <t>Modelling assumption</t>
        </is>
      </c>
      <c r="E11" s="90" t="inlineStr">
        <is>
          <t>AI-GPU depreciation life.</t>
        </is>
      </c>
    </row>
    <row r="12" ht="33" customHeight="1">
      <c r="A12" t="inlineStr">
        <is>
          <t>SpaceX market cap</t>
        </is>
      </c>
      <c r="B12" s="107" t="n">
        <v>1950</v>
      </c>
      <c r="C12" t="inlineStr">
        <is>
          <t>$B</t>
        </is>
      </c>
      <c r="D12" t="inlineStr">
        <is>
          <t>Market data</t>
        </is>
      </c>
      <c r="E12" s="90" t="inlineStr">
        <is>
          <t>~$1.95T Aug 2026; IPO 2026-06-12 at ~$1.77T (market data; used by Sensitivity).</t>
        </is>
      </c>
    </row>
    <row r="13" ht="78" customHeight="1">
      <c r="A13" t="inlineStr">
        <is>
          <t>Datacenter scaling factor</t>
        </is>
      </c>
      <c r="B13" s="103" t="n">
        <v>0</v>
      </c>
      <c r="C13" t="inlineStr">
        <is>
          <t>frac</t>
        </is>
      </c>
      <c r="D13" t="inlineStr">
        <is>
          <t>Modelling assumption</t>
        </is>
      </c>
      <c r="E13" s="90" t="inlineStr">
        <is>
          <t>LEGACY — technical Totals / company tabs only. 0 = only accelerator silicon shrinks; 1 = the whole AI datacenter (building/power/cooling/net) scales with the smaller fleet. The front tabs (Summary, Value Bridge) instead let the servers around the chips and the datacenters FOLLOW the fleet (Levers C6 / C34 switches; default follow).</t>
        </is>
      </c>
    </row>
    <row r="14" ht="48" customHeight="1">
      <c r="A14" t="inlineStr">
        <is>
          <t>Named share of global AI capex</t>
        </is>
      </c>
      <c r="B14" s="103" t="n">
        <v>0.8</v>
      </c>
      <c r="C14" t="inlineStr">
        <is>
          <t>frac</t>
        </is>
      </c>
      <c r="D14" t="inlineStr">
        <is>
          <t>Modelling assumption</t>
        </is>
      </c>
      <c r="E14" s="90" t="inlineStr">
        <is>
          <t>GLOBAL estimate (Totals): named firms' share of worldwide AI capex; the rest (other clouds, China, neoclouds, xAI, sovereign) is grossed up pro-rata. ESTIMATE.</t>
        </is>
      </c>
    </row>
    <row r="15">
      <c r="A15" s="88" t="inlineStr">
        <is>
          <t>REDUCTION ENGINE (Amdahl cost-weighting) — derived; used by the technical tabs</t>
        </is>
      </c>
      <c r="B15" s="89" t="n"/>
      <c r="C15" s="89" t="n"/>
      <c r="D15" s="89" t="n"/>
      <c r="E15" s="89" t="n"/>
    </row>
    <row r="16" ht="18" customHeight="1">
      <c r="A16" t="inlineStr">
        <is>
          <t>Compute share of GPU cost</t>
        </is>
      </c>
      <c r="B16" s="108">
        <f>1-B4</f>
        <v/>
      </c>
      <c r="D16" t="inlineStr">
        <is>
          <t>Derived</t>
        </is>
      </c>
      <c r="E16" s="90" t="inlineStr">
        <is>
          <t>1 - memory share</t>
        </is>
      </c>
    </row>
    <row r="17" ht="18" customHeight="1">
      <c r="A17" t="inlineStr">
        <is>
          <t>Memory cost fraction after reduction</t>
        </is>
      </c>
      <c r="B17" s="109">
        <f>B4/B2</f>
        <v/>
      </c>
      <c r="D17" t="inlineStr">
        <is>
          <t>Derived</t>
        </is>
      </c>
      <c r="E17" s="90" t="inlineStr">
        <is>
          <t>memory share / memory reduction</t>
        </is>
      </c>
    </row>
    <row r="18" ht="18" customHeight="1">
      <c r="A18" t="inlineStr">
        <is>
          <t>Compute cost fraction after reduction</t>
        </is>
      </c>
      <c r="B18" s="109">
        <f>B16/B3</f>
        <v/>
      </c>
      <c r="D18" t="inlineStr">
        <is>
          <t>Derived</t>
        </is>
      </c>
      <c r="E18" s="90" t="inlineStr">
        <is>
          <t>compute share / FLOPs reduction</t>
        </is>
      </c>
    </row>
    <row r="19" ht="18" customHeight="1">
      <c r="A19" t="inlineStr">
        <is>
          <t>Residual cost fraction</t>
        </is>
      </c>
      <c r="B19" s="108">
        <f>B17+B18</f>
        <v/>
      </c>
      <c r="D19" t="inlineStr">
        <is>
          <t>Derived</t>
        </is>
      </c>
      <c r="E19" s="90" t="inlineStr">
        <is>
          <t>Amdahl: floored by the least-reduced component</t>
        </is>
      </c>
    </row>
    <row r="20" ht="33" customHeight="1">
      <c r="A20" s="94" t="inlineStr">
        <is>
          <t>COST-WEIGHTED reduction factor</t>
        </is>
      </c>
      <c r="B20" s="99">
        <f>1/B19</f>
        <v/>
      </c>
      <c r="C20" t="inlineStr">
        <is>
          <t>x</t>
        </is>
      </c>
      <c r="D20" t="inlineStr">
        <is>
          <t>Derived</t>
        </is>
      </c>
      <c r="E20" s="90" t="inlineStr">
        <is>
          <t>1 / residual. The $ reduction used by the technical tabs (Totals, company tabs).</t>
        </is>
      </c>
    </row>
    <row r="21"/>
    <row r="22">
      <c r="A22" s="88" t="inlineStr">
        <is>
          <t>HELARCTOS LEVERS H1, H5, H6 + prompt-processing speed and the inference size factor — 262k-token average context; ◆ purple = differs by scenario</t>
        </is>
      </c>
      <c r="B22" s="89" t="n"/>
      <c r="C22" s="89" t="n"/>
      <c r="D22" s="89" t="n"/>
      <c r="E22" s="89" t="n"/>
    </row>
    <row r="23" ht="168" customHeight="1">
      <c r="A23" s="24" t="inlineStr">
        <is>
          <t>H1 · Equal-quality parameter ratio at ~1T dense-equivalent (smaller model; H2 = same; also the inference size factor, B33) ★</t>
        </is>
      </c>
      <c r="B23" s="110" t="n">
        <v>4.21849922897088</v>
      </c>
      <c r="C23" t="inlineStr">
        <is>
          <t>x</t>
        </is>
      </c>
      <c r="D23" s="24" t="inlineStr">
        <is>
          <t>Helarctos lever H1</t>
        </is>
      </c>
      <c r="E23" s="90"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Applies to TRAINING (H1, H2) and, since 2026-10-01, to INFERENCE too (B33): a smaller equal-quality model costs proportionally less per token. Scale: ~1T dense-equivalent: about what today's 5-6T-total mixture-of-experts flagships amount to (Grok 5 at 6T, Kimi K3 at 2.8T; a mixture-of-experts model runs only a fraction of its parameters per token and performs roughly like a dense model of sqrt(total x active) size).</t>
        </is>
      </c>
    </row>
    <row r="24" ht="63" customHeight="1">
      <c r="A24" s="90" t="inlineStr">
        <is>
          <t>Prompt-processing speed vs the transformer — Current kernels ◆</t>
        </is>
      </c>
      <c r="B24" s="111" t="n">
        <v>10.29945878069066</v>
      </c>
      <c r="C24" t="inlineStr">
        <is>
          <t>x</t>
        </is>
      </c>
      <c r="D24" s="90" t="inlineStr">
        <is>
          <t>Helarctos kernels (supporting)</t>
        </is>
      </c>
      <c r="E24" s="90" t="inlineStr">
        <is>
          <t>Supporting input (a Helarctos kernel property, not a headline lever): our prefill tokens/s at 262k with the banked x3.936 kernel speed-up (MEASURED) / the transformer's. The only inference input that differs by scenario.</t>
        </is>
      </c>
    </row>
    <row r="25" ht="48" customHeight="1">
      <c r="A25" s="90" t="inlineStr">
        <is>
          <t>Prompt-processing speed vs the transformer — Optimized kernels ◆</t>
        </is>
      </c>
      <c r="B25" s="111" t="n">
        <v>18.39895733143096</v>
      </c>
      <c r="C25" t="inlineStr">
        <is>
          <t>x</t>
        </is>
      </c>
      <c r="D25" s="90" t="inlineStr">
        <is>
          <t>Helarctos kernels (supporting)</t>
        </is>
      </c>
      <c r="E25" s="90" t="inlineStr">
        <is>
          <t>Same at the full x7.03 = x3.936 MEASURED x x1.786 TARGET (the funded kernel programme). Prompts are only ~0.2% of the transformer's time at 262k, so this barely moves the lever.</t>
        </is>
      </c>
    </row>
    <row r="26" ht="18" customHeight="1">
      <c r="A26" t="inlineStr">
        <is>
          <t>Prompt-processing speed — ACTIVE scenario ◆</t>
        </is>
      </c>
      <c r="B26" s="111">
        <f>IF(Scenario="Optimized kernels",$B$25,$B$24)</f>
        <v/>
      </c>
      <c r="C26" t="inlineStr">
        <is>
          <t>x</t>
        </is>
      </c>
      <c r="D26" t="inlineStr">
        <is>
          <t>Derived</t>
        </is>
      </c>
      <c r="E26" s="90" t="inlineStr">
        <is>
          <t>Follows the scenario picked on the Levers tab (cell C4).</t>
        </is>
      </c>
    </row>
    <row r="27" ht="93" customHeight="1">
      <c r="A27" s="24" t="inlineStr">
        <is>
          <t>H1 × H5 × H6 → inference compute (FLOPs) lever used</t>
        </is>
      </c>
      <c r="B27" s="92">
        <f>$B$34*$B$33</f>
        <v/>
      </c>
      <c r="C27" t="inlineStr">
        <is>
          <t>x</t>
        </is>
      </c>
      <c r="D27" t="inlineStr">
        <is>
          <t>Derived</t>
        </is>
      </c>
      <c r="E27" s="90" t="inlineStr">
        <is>
          <t>B34 x B33: tokens served per GPU at the SAME model size (B34, from H5 x H6 and prompt processing) x the equal-quality size factor (B33 = H1). B3 points here. Context matters (receipt at the geometry of record, current kernels): ~x98 at a 32k-token average context, ~x466 at 128k, ~x768 at 262k, ~x2,590 at 1M (modelled; one transformer conversation no longer fits a GPU).</t>
        </is>
      </c>
    </row>
    <row r="28" ht="138" customHeight="1">
      <c r="A28" s="24" t="inlineStr">
        <is>
          <t>H5 · More conversations per GPU</t>
        </is>
      </c>
      <c r="B28" s="112" t="n">
        <v>256</v>
      </c>
      <c r="C28" t="inlineStr">
        <is>
          <t>x</t>
        </is>
      </c>
      <c r="D28" s="24" t="inlineStr">
        <is>
          <t>Helarctos lever H5</t>
        </is>
      </c>
      <c r="E28" s="90" t="inlineStr">
        <is>
          <t>MEASURED per layer (2026-10-01 receipt); depth, grouped-query cache and feasible batch MODELLED at a ~90-layer frontier geometry (×1.42 on the measured 24-layer comparator), quoted at a ~90-layer frontier geometry with grouped-query attention (4 KB of cache per token per layer): our 256 resident 262k-token conversations on one GPU (1 MB of state per layer each; a grid cap, not a ceiling) vs the transformer's largest measured batch whose full-model cache fits the card — 1 at 262k (90 GiB of cache on a 94.5 GB card). Enabled by the small memory (H4).</t>
        </is>
      </c>
    </row>
    <row r="29" ht="198" customHeight="1">
      <c r="A29" s="24" t="inlineStr">
        <is>
          <t>H6 · Decode step vs the transformer, per layer</t>
        </is>
      </c>
      <c r="B29" s="113" t="n">
        <v>0.7397580131606878</v>
      </c>
      <c r="C29" t="inlineStr">
        <is>
          <t>x</t>
        </is>
      </c>
      <c r="D29" s="24" t="inlineStr">
        <is>
          <t>Helarctos lever H6</t>
        </is>
      </c>
      <c r="E29" s="90" t="inlineStr">
        <is>
          <t>MEASURED per layer (2026-10-01 receipt); depth, grouped-query cache and feasible batch MODELLED at a ~90-layer frontier geometry (×1.42 on the measured 24-layer comparator): the transformer's per-step decode time at its feasible batch over ours at 256 streams (both per-layer steps measured including their feed-forward blocks — ours as written and uncompiled, so the ratio is a floor); at a ~90-layer frontier geometry with grouped-query attention (4 KB of cache per token per layer) its step is scaled to the cache bytes it re-reads (x1.42 on the receipt's 24-layer comparator). Per decode step the transformer's single long-context stream is still faster than our 256-stream step (x0.74, i.e. our step is 1.35x longer); the gain is H5 — 256 conversations advance per step instead of 1. Supersedes the 2.5 ms-per-token x 64-stream aggregate-decode ESTIMATE.</t>
        </is>
      </c>
    </row>
    <row r="30" ht="18" customHeight="1">
      <c r="A30" t="inlineStr">
        <is>
          <t>Input : output tokens per conversation</t>
        </is>
      </c>
      <c r="B30" s="104" t="n">
        <v>10</v>
      </c>
      <c r="D30" t="inlineStr">
        <is>
          <t>Modelling assumption</t>
        </is>
      </c>
      <c r="E30" s="90" t="inlineStr">
        <is>
          <t>~10:1 = code / reasoning / agent traces.</t>
        </is>
      </c>
    </row>
    <row r="31" ht="33" customHeight="1">
      <c r="A31" t="inlineStr">
        <is>
          <t>Transformer decode ÷ prompt speed at 262k</t>
        </is>
      </c>
      <c r="B31" s="114" t="n">
        <v>0.0002305808900548502</v>
      </c>
      <c r="D31" t="inlineStr">
        <is>
          <t>Measured (transformer)</t>
        </is>
      </c>
      <c r="E31" s="90" t="inlineStr">
        <is>
          <t>Tokens/s generated ÷ prompt tokens/s processed, per GPU (measured transformer rates).</t>
        </is>
      </c>
    </row>
    <row r="32" ht="33" customHeight="1">
      <c r="A32" t="inlineStr">
        <is>
          <t>Transformer prompt time ÷ decode time</t>
        </is>
      </c>
      <c r="B32" s="109">
        <f>$B$30*$B$31</f>
        <v/>
      </c>
      <c r="D32" t="inlineStr">
        <is>
          <t>Derived</t>
        </is>
      </c>
      <c r="E32" s="90" t="inlineStr">
        <is>
          <t>B30 x B31: the transformer spends ~0.23% of its time on the prompt at 262k.</t>
        </is>
      </c>
    </row>
    <row r="33" ht="78" customHeight="1">
      <c r="A33" s="24" t="inlineStr">
        <is>
          <t>H1 · Inference size factor (equal-quality parameter ratio applied to inference)</t>
        </is>
      </c>
      <c r="B33" s="113">
        <f>$B$23</f>
        <v/>
      </c>
      <c r="C33" t="inlineStr">
        <is>
          <t>x</t>
        </is>
      </c>
      <c r="D33" s="24" t="inlineStr">
        <is>
          <t>Helarctos lever H1</t>
        </is>
      </c>
      <c r="E33" s="90" t="inlineStr">
        <is>
          <t>B23 (2026-10-01 user ruling, reinstated): inference cost DOES scale with model size, so the fit-derived equal-quality ratio multiplies the inference lever exactly as it multiplies the training lever — a model with ~24% of the parameters costs ~4.2x less per token. Set to 1 to price inference at equal size only.</t>
        </is>
      </c>
    </row>
    <row r="34" ht="33" customHeight="1">
      <c r="A34" s="90" t="inlineStr">
        <is>
          <t>Tokens per GPU at EQUAL model size (H5 × H6 with prompt processing)</t>
        </is>
      </c>
      <c r="B34" s="91">
        <f>(1+$B$32)/($B$32/$B$26+1/($B$28*$B$29))</f>
        <v/>
      </c>
      <c r="C34" t="inlineStr">
        <is>
          <t>x</t>
        </is>
      </c>
      <c r="D34" t="inlineStr">
        <is>
          <t>Derived</t>
        </is>
      </c>
      <c r="E34" s="90" t="inlineStr">
        <is>
          <t>(1 + B32) / (B32/B26 + 1/(B28 x B29)): decode at H5 x H6, plus prompt processing at the active scenario's speed (B26). Feeds B27.</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H2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 width="18" customWidth="1" min="7" max="7"/>
    <col width="40" customWidth="1" min="8" max="8"/>
  </cols>
  <sheetData>
    <row r="1">
      <c r="A1" s="88" t="inlineStr">
        <is>
          <t>SENSITIVITY (SpaceX, FY2026) — memory/compute cost split vs whole-GPU pricing</t>
        </is>
      </c>
      <c r="B1" s="89" t="n"/>
      <c r="C1" s="89" t="n"/>
      <c r="D1" s="89" t="n"/>
      <c r="E1" s="89" t="n"/>
    </row>
    <row r="2" ht="63" customHeight="1">
      <c r="A2" s="94" t="inlineStr">
        <is>
          <t>Metric</t>
        </is>
      </c>
      <c r="B2" s="52" t="inlineStr">
        <is>
          <t>Memory/compute cost split (Totals engine)</t>
        </is>
      </c>
      <c r="C2" s="52" t="inlineStr">
        <is>
          <t>Whole GPUs (Value Bridge logic)</t>
        </is>
      </c>
    </row>
    <row r="3">
      <c r="A3" t="inlineStr">
        <is>
          <t>Efficient acquisition ($B)</t>
        </is>
      </c>
      <c r="B3" s="115">
        <f>SpaceX!$B$12/(Inputs!$B$20)</f>
        <v/>
      </c>
      <c r="C3" s="115">
        <f>SpaceX!$B$12/(MIN(Inputs!$B$2,Inputs!$B$3))</f>
        <v/>
      </c>
    </row>
    <row r="4">
      <c r="A4" t="inlineStr">
        <is>
          <t>Capex avoided/yr ($B)</t>
        </is>
      </c>
      <c r="B4" s="115">
        <f>SpaceX!$B$12-SpaceX!$B$12/(Inputs!$B$20)</f>
        <v/>
      </c>
      <c r="C4" s="115">
        <f>SpaceX!$B$12-SpaceX!$B$12/(MIN(Inputs!$B$2,Inputs!$B$3))</f>
        <v/>
      </c>
    </row>
    <row r="5">
      <c r="A5" t="inlineStr">
        <is>
          <t>Annual opex savings ($M)</t>
        </is>
      </c>
      <c r="B5" s="91">
        <f>SpaceX!$B$26</f>
        <v/>
      </c>
      <c r="C5" s="91">
        <f>SpaceX!$B$26</f>
        <v/>
      </c>
    </row>
    <row r="6">
      <c r="A6" t="inlineStr">
        <is>
          <t>Sustained annual benefit ($B)</t>
        </is>
      </c>
      <c r="B6" s="115">
        <f>(SpaceX!$B$12-SpaceX!$B$12/(Inputs!$B$20))+SpaceX!$B$26/1000</f>
        <v/>
      </c>
      <c r="C6" s="115">
        <f>(SpaceX!$B$12-SpaceX!$B$12/(MIN(Inputs!$B$2,Inputs!$B$3)))+SpaceX!$B$26/1000</f>
        <v/>
      </c>
    </row>
    <row r="7">
      <c r="A7" t="inlineStr">
        <is>
          <t>Capitalized value ($B)</t>
        </is>
      </c>
      <c r="B7" s="116">
        <f>((SpaceX!$B$12-SpaceX!$B$12/(Inputs!$B$20))+SpaceX!$B$26/1000)/Inputs!$B$6</f>
        <v/>
      </c>
      <c r="C7" s="116">
        <f>((SpaceX!$B$12-SpaceX!$B$12/(MIN(Inputs!$B$2,Inputs!$B$3)))+SpaceX!$B$26/1000)/Inputs!$B$6</f>
        <v/>
      </c>
    </row>
    <row r="8">
      <c r="A8" t="inlineStr">
        <is>
          <t>% of market cap</t>
        </is>
      </c>
      <c r="B8" s="108">
        <f>(((SpaceX!$B$12-SpaceX!$B$12/(Inputs!$B$20))+SpaceX!$B$26/1000)/Inputs!$B$6)/Inputs!$B$12</f>
        <v/>
      </c>
      <c r="C8" s="108">
        <f>(((SpaceX!$B$12-SpaceX!$B$12/(MIN(Inputs!$B$2,Inputs!$B$3)))+SpaceX!$B$26/1000)/Inputs!$B$6)/Inputs!$B$12</f>
        <v/>
      </c>
    </row>
    <row r="9"/>
    <row r="10" ht="48" customHeight="1">
      <c r="A10" s="90"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8" t="inlineStr">
        <is>
          <t>CONVERSATION-LENGTH SENSITIVITY — the inference lever from the 2026-10-01 per-layer decode receipt (static values; rebuild to refresh)</t>
        </is>
      </c>
      <c r="B12" s="89" t="n"/>
      <c r="C12" s="89" t="n"/>
      <c r="D12" s="89" t="n"/>
      <c r="E12" s="89" t="n"/>
      <c r="F12" s="89" t="n"/>
      <c r="G12" s="89" t="n"/>
      <c r="H12" s="89" t="n"/>
    </row>
    <row r="13" ht="63" customHeight="1">
      <c r="A13" s="52" t="inlineStr">
        <is>
          <t>Conversation length</t>
        </is>
      </c>
      <c r="B13" s="52" t="inlineStr">
        <is>
          <t>Transformer streams that fit a GPU</t>
        </is>
      </c>
      <c r="C13" s="52" t="inlineStr">
        <is>
          <t>H5 conversations per GPU</t>
        </is>
      </c>
      <c r="D13" s="52" t="inlineStr">
        <is>
          <t>H6 per-step decode (x)</t>
        </is>
      </c>
      <c r="E13" s="52" t="inlineStr">
        <is>
          <t>Tokens per GPU at equal size, current kernels (x)</t>
        </is>
      </c>
      <c r="F13" s="52" t="inlineStr">
        <is>
          <t>◆ Inference lever, current kernels (x)</t>
        </is>
      </c>
      <c r="G13" s="52" t="inlineStr">
        <is>
          <t>◆ Inference lever, optimized kernels (x)</t>
        </is>
      </c>
      <c r="H13" s="52" t="inlineStr">
        <is>
          <t>Basis</t>
        </is>
      </c>
    </row>
    <row r="14" ht="18" customHeight="1">
      <c r="A14" t="inlineStr">
        <is>
          <t>4k</t>
        </is>
      </c>
      <c r="B14" s="117" t="n">
        <v>64</v>
      </c>
      <c r="C14" s="118" t="n">
        <v>4</v>
      </c>
      <c r="D14" s="119" t="n">
        <v>0.9894926767140734</v>
      </c>
      <c r="E14" s="91" t="n">
        <v>3.863988310052814</v>
      </c>
      <c r="F14" s="120" t="n">
        <v>16.30023170671029</v>
      </c>
      <c r="G14" s="120" t="n">
        <v>16.5448807532617</v>
      </c>
      <c r="H14" s="90" t="inlineStr">
        <is>
          <t>measured cell</t>
        </is>
      </c>
    </row>
    <row r="15" ht="18" customHeight="1">
      <c r="A15" t="inlineStr">
        <is>
          <t>32k</t>
        </is>
      </c>
      <c r="B15" s="117" t="n">
        <v>8</v>
      </c>
      <c r="C15" s="118" t="n">
        <v>32</v>
      </c>
      <c r="D15" s="119" t="n">
        <v>0.7451708766716196</v>
      </c>
      <c r="E15" s="91" t="n">
        <v>23.30765432084735</v>
      </c>
      <c r="F15" s="120" t="n">
        <v>98.32332178161434</v>
      </c>
      <c r="G15" s="120" t="n">
        <v>99.43816484365132</v>
      </c>
      <c r="H15" s="90" t="inlineStr">
        <is>
          <t>measured cell</t>
        </is>
      </c>
    </row>
    <row r="16" ht="33" customHeight="1">
      <c r="A16" t="inlineStr">
        <is>
          <t>64k</t>
        </is>
      </c>
      <c r="B16" s="121" t="n">
        <v>1</v>
      </c>
      <c r="C16" s="106" t="n">
        <v>256</v>
      </c>
      <c r="D16" s="122" t="n">
        <v>0.2947405099681837</v>
      </c>
      <c r="E16" s="91" t="n">
        <v>72.62947958649566</v>
      </c>
      <c r="F16" s="120" t="n">
        <v>306.3874036361882</v>
      </c>
      <c r="G16" s="120" t="n">
        <v>311.860691084761</v>
      </c>
      <c r="H16" s="90" t="inlineStr">
        <is>
          <t>modelled (linear fit in context over the measured cells)</t>
        </is>
      </c>
    </row>
    <row r="17" ht="18" customHeight="1">
      <c r="A17" t="inlineStr">
        <is>
          <t>128k</t>
        </is>
      </c>
      <c r="B17" s="117" t="n">
        <v>1</v>
      </c>
      <c r="C17" s="118" t="n">
        <v>256</v>
      </c>
      <c r="D17" s="119" t="n">
        <v>0.4465081723625557</v>
      </c>
      <c r="E17" s="91" t="n">
        <v>110.3822697222404</v>
      </c>
      <c r="F17" s="120" t="n">
        <v>465.6475197153267</v>
      </c>
      <c r="G17" s="120" t="n">
        <v>473.2740178538951</v>
      </c>
      <c r="H17" s="90" t="inlineStr">
        <is>
          <t>measured cell</t>
        </is>
      </c>
    </row>
    <row r="18" ht="18" customHeight="1">
      <c r="A18" s="94" t="inlineStr">
        <is>
          <t>262k (used)</t>
        </is>
      </c>
      <c r="B18" s="117" t="n">
        <v>1</v>
      </c>
      <c r="C18" s="118" t="n">
        <v>256</v>
      </c>
      <c r="D18" s="119" t="n">
        <v>0.7397580131606878</v>
      </c>
      <c r="E18" s="91" t="n">
        <v>182.0944036699338</v>
      </c>
      <c r="F18" s="120" t="n">
        <v>768.1651014815278</v>
      </c>
      <c r="G18" s="120" t="n">
        <v>782.1697165369324</v>
      </c>
      <c r="H18" s="90" t="inlineStr">
        <is>
          <t>measured cell</t>
        </is>
      </c>
    </row>
    <row r="19" ht="63" customHeight="1">
      <c r="A19" t="inlineStr">
        <is>
          <t>1024k</t>
        </is>
      </c>
      <c r="B19" s="121" t="n">
        <v>1</v>
      </c>
      <c r="C19" s="106" t="n">
        <v>256</v>
      </c>
      <c r="D19" s="122" t="n">
        <v>2.526871636590832</v>
      </c>
      <c r="E19" s="91" t="n">
        <v>613.8867233241026</v>
      </c>
      <c r="F19" s="120" t="n">
        <v>2589.680669018187</v>
      </c>
      <c r="G19" s="120" t="n">
        <v>2650.444826250923</v>
      </c>
      <c r="H19" s="90" t="inlineStr">
        <is>
          <t>modelled (linear fit in context over the measured cells); one transformer conversation no longer fits a GPU (sharding cost ignored)</t>
        </is>
      </c>
    </row>
    <row r="20" ht="78" customHeight="1">
      <c r="A20" s="90" t="inlineStr">
        <is>
          <t>Quoted at the geometry of record: a ~90-layer frontier geometry with grouped-query attention (4 KB of cache per token per layer), anchored on disclosed frontier depths (Kimi K3 93 layers (2.8T/104B MoE) and GLM-5 78 layers (744B) -&gt; ~90 at 1T dense-equivalent). The transformer runs the largest measured batch whose full-model cache fits a 94 GB card at that context; at and above 32k its step is scaled to the cache bytes it re-reads. We run 256 streams at 1.0 MB per layer each, context-independent; both per-layer steps measured including their feed-forward blocks — ours as written and uncompiled, so the ratio is a floor. Inference lever = tokens per GPU at equal size x the x4.22 equal-quality size factor. Inputs!B27 uses the 262k row.</t>
        </is>
      </c>
    </row>
    <row r="21"/>
    <row r="22">
      <c r="A22" s="88" t="inlineStr">
        <is>
          <t>CONVERSATION-LENGTH SENSITIVITY — LEGACY ESTIMATE BASIS (superseded 2026-10-01; prompt share of serving cost only)</t>
        </is>
      </c>
      <c r="B22" s="89" t="n"/>
      <c r="C22" s="89" t="n"/>
      <c r="D22" s="89" t="n"/>
      <c r="E22" s="89" t="n"/>
      <c r="F22" s="89" t="n"/>
      <c r="G22" s="89" t="n"/>
      <c r="H22" s="89" t="n"/>
    </row>
    <row r="23" ht="93" customHeight="1">
      <c r="A23" s="52" t="inlineStr">
        <is>
          <t>Conversation length</t>
        </is>
      </c>
      <c r="B23" s="52" t="inlineStr">
        <is>
          <t>TF prefill share</t>
        </is>
      </c>
      <c r="C23" s="52" t="inlineStr">
        <is>
          <t>Our prefill share</t>
        </is>
      </c>
      <c r="D23" s="52" t="inlineStr">
        <is>
          <t>◆ Tokens per GPU at equal size, current kernels — legacy estimate (x)</t>
        </is>
      </c>
      <c r="E23" s="52" t="inlineStr">
        <is>
          <t>◆ Tokens per GPU at equal size, optimized kernels — legacy estimate (x)</t>
        </is>
      </c>
      <c r="F23" s="52" t="inlineStr"/>
    </row>
    <row r="24">
      <c r="A24" t="inlineStr">
        <is>
          <t>8k</t>
        </is>
      </c>
      <c r="B24" s="109" t="n">
        <v>0.005899250258734248</v>
      </c>
      <c r="C24" s="108" t="n">
        <v>0.05208995366081766</v>
      </c>
      <c r="D24" s="123" t="n">
        <v>11.92287815199857</v>
      </c>
      <c r="E24" s="123" t="n">
        <v>12.20269551906716</v>
      </c>
    </row>
    <row r="25">
      <c r="A25" t="inlineStr">
        <is>
          <t>32k</t>
        </is>
      </c>
      <c r="B25" s="109" t="n">
        <v>0.002981160980333002</v>
      </c>
      <c r="C25" s="108" t="n">
        <v>0.05196631516233694</v>
      </c>
      <c r="D25" s="123" t="n">
        <v>47.55813072137281</v>
      </c>
      <c r="E25" s="123" t="n">
        <v>48.67155861377862</v>
      </c>
    </row>
    <row r="26">
      <c r="A26" t="inlineStr">
        <is>
          <t>128k</t>
        </is>
      </c>
      <c r="B26" s="109" t="n">
        <v>0.002359266800993781</v>
      </c>
      <c r="C26" s="108" t="n">
        <v>0.06235575593664416</v>
      </c>
      <c r="D26" s="123" t="n">
        <v>188.0304920694428</v>
      </c>
      <c r="E26" s="123" t="n">
        <v>193.3375983858266</v>
      </c>
    </row>
    <row r="27">
      <c r="A27" s="94" t="inlineStr">
        <is>
          <t>262k (default context)</t>
        </is>
      </c>
      <c r="B27" s="109" t="n">
        <v>0.00230050437708008</v>
      </c>
      <c r="C27" s="108" t="n">
        <v>0.08221381175542121</v>
      </c>
      <c r="D27" s="123" t="n">
        <v>368.0748334211694</v>
      </c>
      <c r="E27" s="123" t="n">
        <v>381.8963339071965</v>
      </c>
    </row>
    <row r="28"/>
    <row r="29" ht="63" customHeight="1">
      <c r="A29" s="90" t="inlineStr">
        <is>
          <t>LEGACY ESTIMATE BASIS: this block still runs on the retired aggregate-decode estimate (a 2.5 ms-per-token step at 64 streams), kept only to show how prompt processing's share of serving cost moves with context; the table above is the receipt-based lever the workbook uses (Inputs B27). Cost = box wall-clock, not FLOPs. The transformer's decode leg is KV-bandwidth-bound (measured 1/context law) while its prefill runs near peak, so prefill is &lt;1% of its serving cost at every context. Static values — rebuild to refresh.</t>
        </is>
      </c>
    </row>
  </sheetData>
  <mergeCells count="3">
    <mergeCell ref="A20:H20"/>
    <mergeCell ref="A10:E10"/>
    <mergeCell ref="A29:H29"/>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8" t="inlineStr">
        <is>
          <t>COST LADDER — $/H100-equivalent GPU-hour (at scale). Green = market price; yellow = assumption.</t>
        </is>
      </c>
      <c r="B1" s="89" t="n"/>
      <c r="C1" s="89" t="n"/>
      <c r="D1" s="89" t="n"/>
    </row>
    <row r="2">
      <c r="A2" s="94" t="inlineStr">
        <is>
          <t>Procurement mode</t>
        </is>
      </c>
      <c r="B2" s="94" t="inlineStr">
        <is>
          <t>$/hr low</t>
        </is>
      </c>
      <c r="C2" s="94" t="inlineStr">
        <is>
          <t>$/hr high</t>
        </is>
      </c>
      <c r="D2" s="94" t="inlineStr">
        <is>
          <t>What's baked into the price</t>
        </is>
      </c>
    </row>
    <row r="3" ht="33" customHeight="1">
      <c r="A3" t="inlineStr">
        <is>
          <t>Own custom silicon (TPU/Trainium)</t>
        </is>
      </c>
      <c r="B3" s="119" t="n">
        <v>0.9</v>
      </c>
      <c r="C3" s="119" t="n">
        <v>1.4</v>
      </c>
      <c r="D3" s="90" t="inlineStr">
        <is>
          <t>COGS + modest Broadcom/Marvell margin + power + DC. NO NVIDIA margin.</t>
        </is>
      </c>
    </row>
    <row r="4" ht="18" customHeight="1">
      <c r="A4" t="inlineStr">
        <is>
          <t>Buy + operate NVIDIA (scale)</t>
        </is>
      </c>
      <c r="B4" s="119" t="n">
        <v>1.5</v>
      </c>
      <c r="C4" s="119" t="n">
        <v>2</v>
      </c>
      <c r="D4" s="90" t="inlineStr">
        <is>
          <t>NVIDIA ~84% gross margin baked into capex + power + DC.</t>
        </is>
      </c>
    </row>
    <row r="5" ht="18" customHeight="1">
      <c r="A5" t="inlineStr">
        <is>
          <t>Rent NVIDIA - neocloud / committed</t>
        </is>
      </c>
      <c r="B5" s="119" t="n">
        <v>2</v>
      </c>
      <c r="C5" s="119" t="n">
        <v>3.5</v>
      </c>
      <c r="D5" s="90" t="inlineStr">
        <is>
          <t>+ cloud provider capex recovery &amp; margin.</t>
        </is>
      </c>
    </row>
    <row r="6" ht="33" customHeight="1">
      <c r="A6" t="inlineStr">
        <is>
          <t>Rent NVIDIA - hyperscaler on-demand</t>
        </is>
      </c>
      <c r="B6" s="119" t="n">
        <v>3</v>
      </c>
      <c r="C6" s="119" t="n">
        <v>7</v>
      </c>
      <c r="D6" s="90" t="inlineStr">
        <is>
          <t>+ utilization risk + flexibility premium (new B200 to ~$14).</t>
        </is>
      </c>
    </row>
    <row r="7"/>
    <row r="8">
      <c r="A8" s="88" t="inlineStr">
        <is>
          <t>OWNED-NVIDIA TCO CROSS-CHECK (from Inputs)</t>
        </is>
      </c>
      <c r="B8" s="89" t="n"/>
      <c r="C8" s="89" t="n"/>
      <c r="D8" s="89" t="n"/>
    </row>
    <row r="9">
      <c r="A9" t="inlineStr">
        <is>
          <t>Utilization</t>
        </is>
      </c>
      <c r="B9" s="124" t="n">
        <v>0.85</v>
      </c>
    </row>
    <row r="10" ht="18" customHeight="1">
      <c r="A10" t="inlineStr">
        <is>
          <t>Capex $/hr</t>
        </is>
      </c>
      <c r="B10" s="115">
        <f>Inputs!$B$7/(Inputs!$B$11*8760*B9)</f>
        <v/>
      </c>
      <c r="D10" s="90" t="inlineStr">
        <is>
          <t>fully-loaded $/GPU / (life x 8760h x utilization)</t>
        </is>
      </c>
    </row>
    <row r="11" ht="18" customHeight="1">
      <c r="A11" t="inlineStr">
        <is>
          <t>Power $/hr</t>
        </is>
      </c>
      <c r="B11" s="115">
        <f>Inputs!$B$8*Inputs!$B$9</f>
        <v/>
      </c>
      <c r="D11" s="90" t="inlineStr">
        <is>
          <t>wall kW x $/kWh</t>
        </is>
      </c>
    </row>
    <row r="12">
      <c r="A12" t="inlineStr">
        <is>
          <t>DC/staff adder $/hr</t>
        </is>
      </c>
      <c r="B12" s="122" t="n">
        <v>0.3</v>
      </c>
    </row>
    <row r="13" ht="18" customHeight="1">
      <c r="A13" s="94" t="inlineStr">
        <is>
          <t>Owned TCO $/hr</t>
        </is>
      </c>
      <c r="B13" s="125">
        <f>B10+B11+B12</f>
        <v/>
      </c>
      <c r="D13" s="90" t="inlineStr">
        <is>
          <t>cross-checks the 'Buy + operate NVIDIA' row</t>
        </is>
      </c>
    </row>
    <row r="14"/>
    <row r="15" ht="33" customHeight="1">
      <c r="A15" s="90" t="inlineStr">
        <is>
          <t>MARGIN STACK: own-silicon -&gt; buy-NVIDIA ~1.4-2x (NVIDIA margin). buy -&gt; rent ~2-3.5x (cloud margin). own -&gt; rent ~3-5x.</t>
        </is>
      </c>
    </row>
    <row r="16" ht="33" customHeight="1">
      <c r="A16" s="90" t="inlineStr">
        <is>
          <t>B200 builds ~$6,400, sells ~$40,000 -&gt; ~84% gross margin. Hyperscalers charge 3-6x neocloud rates for identical HW.</t>
        </is>
      </c>
    </row>
    <row r="17" ht="33" customHeight="1">
      <c r="A17" s="90" t="inlineStr">
        <is>
          <t>OWN-SILICON: TPU/Trainium/MTIA cost ~1/3 less per useful FLOP than NVIDIA. The model values compute at each company's ACTUAL cost (no gross-up).</t>
        </is>
      </c>
    </row>
    <row r="18" ht="18" customHeight="1">
      <c r="A18" s="90" t="inlineStr">
        <is>
          <t>SemiAnalysis: TPU 20-50% lower TCO per useful FLOP vs GB200/GB300; Trainium3 ~30% better vs GB300.</t>
        </is>
      </c>
    </row>
    <row r="19" ht="33" customHeight="1">
      <c r="A19" s="90"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8" t="inlineStr">
        <is>
          <t>SERVING &amp; TRAINING — measured 2026-08-07/08 (2/4/8 x H100), priced at the CostLadder rent mid ($2.50/GPU-hr). Source: internal measurement archive (keys in the model).</t>
        </is>
      </c>
      <c r="B1" s="89" t="n"/>
      <c r="C1" s="89" t="n"/>
      <c r="D1" s="89" t="n"/>
      <c r="E1" s="89" t="n"/>
      <c r="F1" s="89" t="n"/>
    </row>
    <row r="2"/>
    <row r="3"/>
    <row r="4">
      <c r="A4" s="88" t="inlineStr">
        <is>
          <t>WORKLOAD — measured pre-campaign blend (background; the workbook lever lives at Inputs B24-B29)</t>
        </is>
      </c>
      <c r="B4" s="89" t="n"/>
      <c r="C4" s="89" t="n"/>
      <c r="D4" s="89" t="n"/>
      <c r="E4" s="89" t="n"/>
      <c r="F4" s="89" t="n"/>
    </row>
    <row r="5" ht="168" customHeight="1">
      <c r="A5" s="90"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4" t="n">
        <v>10</v>
      </c>
      <c r="F7" s="90" t="inlineStr">
        <is>
          <t>~10:1 = code / reasoning / agent traces. 50-100:1 = RAG and document QA.</t>
        </is>
      </c>
    </row>
    <row r="8" ht="33" customHeight="1">
      <c r="A8" t="inlineStr">
        <is>
          <t>E[context] (tokens)</t>
        </is>
      </c>
      <c r="B8" s="106" t="n">
        <v>65536</v>
      </c>
      <c r="F8" s="90" t="inlineStr">
        <is>
          <t>Our decode cost is context-flat and the transformer's is linear, so the decode advantage is linear in this.</t>
        </is>
      </c>
    </row>
    <row r="9" ht="33" customHeight="1">
      <c r="A9" t="inlineStr">
        <is>
          <t>Training share of accelerator cost</t>
        </is>
      </c>
      <c r="B9" s="122" t="n">
        <v>0</v>
      </c>
      <c r="F9" s="90" t="inlineStr">
        <is>
          <t>0 = a serving-cost claim. Training is a LOSS at short sequence today; above ~0.06 the blend drops below 1.</t>
        </is>
      </c>
    </row>
    <row r="10"/>
    <row r="11">
      <c r="A11" s="94" t="inlineStr">
        <is>
          <t>Measured constants</t>
        </is>
      </c>
    </row>
    <row r="12">
      <c r="A12" t="inlineStr">
        <is>
          <t>Owned decode, tokens/s/box (context-flat)</t>
        </is>
      </c>
      <c r="B12" s="118" t="n">
        <v>4496.668604837461</v>
      </c>
    </row>
    <row r="13">
      <c r="A13" t="inlineStr">
        <is>
          <t>KV MB per token per stream</t>
        </is>
      </c>
      <c r="B13" s="114" t="n">
        <v>0.15234375</v>
      </c>
    </row>
    <row r="14">
      <c r="A14" t="inlineStr">
        <is>
          <t>HBM TB/s per GPU</t>
        </is>
      </c>
      <c r="B14" s="122" t="n">
        <v>3.35</v>
      </c>
    </row>
    <row r="15">
      <c r="A15" t="inlineStr">
        <is>
          <t>Transformer KV compression (mature stack)</t>
        </is>
      </c>
      <c r="B15" s="104" t="n">
        <v>1</v>
      </c>
    </row>
    <row r="16">
      <c r="A16" t="inlineStr">
        <is>
          <t>GPUs per box</t>
        </is>
      </c>
      <c r="B16" s="121" t="n">
        <v>8</v>
      </c>
    </row>
    <row r="17" ht="198" customHeight="1">
      <c r="A17" s="90" t="inlineStr">
        <is>
          <t>Training advantage, short sequence (owned / transformer)</t>
        </is>
      </c>
      <c r="B17" s="126" t="n">
        <v>0.5825609168739003</v>
      </c>
      <c r="F17" s="90" t="inlineStr">
        <is>
          <t>RE-BASED 2026-08-24/25 (1 x GH200, ONE layer, fwd+bwd, bf16, checkpointing off both arms, modern transformer block 24Q/4KV head_dim 256 RoPE 64 gated): transformer is 1.72x faster at T=2,048 (101.7 vs 59.3 ms/step) and 1.79x at T=8,192; the equal-token B4/T32,768 ~equal-cost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H4 serving-memory lever. TARGET (no receipt): T=8,192 step &lt;= 83.08 ms and memory 0.88x.</t>
        </is>
      </c>
    </row>
    <row r="18"/>
    <row r="19">
      <c r="A19" s="94" t="inlineStr">
        <is>
          <t>Derived</t>
        </is>
      </c>
    </row>
    <row r="20">
      <c r="A20" t="inlineStr">
        <is>
          <t>KV GB per stream</t>
        </is>
      </c>
      <c r="B20" s="115">
        <f>$B$8*$B$13/1024</f>
        <v/>
      </c>
    </row>
    <row r="21">
      <c r="A21" t="inlineStr">
        <is>
          <t>KV GB per stream, compressed</t>
        </is>
      </c>
      <c r="B21" s="127">
        <f>$B$20/$B$15</f>
        <v/>
      </c>
    </row>
    <row r="22" ht="48" customHeight="1">
      <c r="A22" t="inlineStr">
        <is>
          <t>Transformer decode, tokens/s/box</t>
        </is>
      </c>
      <c r="B22" s="116">
        <f>511.8416*32768/$B$8*$B$15*$B$16</f>
        <v/>
      </c>
      <c r="F22" s="90" t="inlineStr">
        <is>
          <t>MEASURED 1/context law (2026-08-14 re-base): 511.84 tok/s/GPU at 32,768 ctx x 32768/E[context] x KV-compression x GPUs. Crosses our flat 562/GPU near ~30k context.</t>
        </is>
      </c>
    </row>
    <row r="23">
      <c r="A23" t="inlineStr">
        <is>
          <t>Prefill table row (lookup)</t>
        </is>
      </c>
      <c r="B23" s="128">
        <f>MATCH($B$8,$A$33:$A$39,1)</f>
        <v/>
      </c>
    </row>
    <row r="24">
      <c r="A24" t="inlineStr">
        <is>
          <t>Prefill tokens/s/box — transformer</t>
        </is>
      </c>
      <c r="B24" s="116">
        <f>IF(INDEX($B$33:$B$39,MIN($B$23+1,7))=INDEX($B$33:$B$39,$B$23),INDEX($B$33:$B$39,$B$23),EXP(LN(INDEX($B$33:$B$39,$B$23))+(LN($B$8)-LN(INDEX($A$33:$A$39,$B$23)))/(LN(INDEX($A$33:$A$39,MIN($B$23+1,7)))-LN(INDEX($A$33:$A$39,$B$23)))*(LN(INDEX($B$33:$B$39,MIN($B$23+1,7)))-LN(INDEX($B$33:$B$39,$B$23)))))*$B$16</f>
        <v/>
      </c>
    </row>
    <row r="25">
      <c r="A25" t="inlineStr">
        <is>
          <t>Prefill tokens/s/box — owned</t>
        </is>
      </c>
      <c r="B25" s="116">
        <f>IF(INDEX($C$33:$C$39,MIN($B$23+1,7))=INDEX($C$33:$C$39,$B$23),INDEX($C$33:$C$39,$B$23),EXP(LN(INDEX($C$33:$C$39,$B$23))+(LN($B$8)-LN(INDEX($A$33:$A$39,$B$23)))/(LN(INDEX($A$33:$A$39,MIN($B$23+1,7)))-LN(INDEX($A$33:$A$39,$B$23)))*(LN(INDEX($C$33:$C$39,MIN($B$23+1,7)))-LN(INDEX($C$33:$C$39,$B$23)))))*$B$16</f>
        <v/>
      </c>
    </row>
    <row r="26">
      <c r="A26" t="inlineStr">
        <is>
          <t>Transformer seconds per generated token</t>
        </is>
      </c>
      <c r="B26" s="129">
        <f>$B$7/$B$24+1/$B$22</f>
        <v/>
      </c>
    </row>
    <row r="27">
      <c r="A27" t="inlineStr">
        <is>
          <t>Owned seconds per generated token</t>
        </is>
      </c>
      <c r="B27" s="129">
        <f>$B$7/$B$25+1/$B$12</f>
        <v/>
      </c>
    </row>
    <row r="28" ht="93" customHeight="1">
      <c r="A28" s="94" t="inlineStr">
        <is>
          <t>BLENDED COMPUTE LEVER (flop_factor)</t>
        </is>
      </c>
      <c r="B28" s="125">
        <f>IF($B$9&gt;0,1/($B$9/$B$17+(1-$B$9)/($B$26/$B$27)),$B$26/$B$27)</f>
        <v/>
      </c>
      <c r="F28" s="90" t="inlineStr">
        <is>
          <t>Measured pre-campaign workload blend (2026-08-14 basis), kept as BACKGROUND. RETIRED as the workbook lever 2026-09-01: Inputs!B24-B34 now carry the model-computed levers (H5 x H6 from the 2026-10-01 per-layer decode receipt x the equal-quality size factor; this cell no longer feeds Inputs!B3).</t>
        </is>
      </c>
    </row>
    <row r="29">
      <c r="A29" t="inlineStr">
        <is>
          <t xml:space="preserve">  of which: prefill advantage</t>
        </is>
      </c>
      <c r="B29" s="115">
        <f>($B$7/$B$24)/($B$7/$B$25)</f>
        <v/>
      </c>
    </row>
    <row r="30">
      <c r="A30" t="inlineStr">
        <is>
          <t xml:space="preserve">  of which: decode advantage</t>
        </is>
      </c>
      <c r="B30" s="102">
        <f>(1/$B$22)/(1/$B$12)</f>
        <v/>
      </c>
    </row>
    <row r="31"/>
    <row r="32">
      <c r="A32" s="94" t="inlineStr">
        <is>
          <t>Measured prefill throughput, tokens/s/GPU (bf16 saturated lane, d2048)</t>
        </is>
      </c>
      <c r="D32" s="130" t="inlineStr">
        <is>
          <t>Context</t>
        </is>
      </c>
      <c r="E32" s="130" t="inlineStr">
        <is>
          <t>Transformer</t>
        </is>
      </c>
      <c r="F32" s="130" t="inlineStr">
        <is>
          <t>Owned</t>
        </is>
      </c>
    </row>
    <row r="33">
      <c r="A33" s="131" t="n">
        <v>2048</v>
      </c>
      <c r="B33" s="118" t="n">
        <v>4682606.88285999</v>
      </c>
      <c r="C33" s="118" t="n">
        <v>1185825</v>
      </c>
    </row>
    <row r="34">
      <c r="A34" s="131" t="n">
        <v>8192</v>
      </c>
      <c r="B34" s="118" t="n">
        <v>3450080</v>
      </c>
      <c r="C34" s="118" t="n">
        <v>1183690</v>
      </c>
    </row>
    <row r="35">
      <c r="A35" s="131" t="n">
        <v>32768</v>
      </c>
      <c r="B35" s="118" t="n">
        <v>1711802</v>
      </c>
      <c r="C35" s="118" t="n">
        <v>1186661</v>
      </c>
    </row>
    <row r="36">
      <c r="A36" s="131" t="n">
        <v>65536</v>
      </c>
      <c r="B36" s="118" t="n">
        <v>1007187</v>
      </c>
      <c r="C36" s="118" t="n">
        <v>1181622</v>
      </c>
    </row>
    <row r="37">
      <c r="A37" s="131" t="n">
        <v>131072</v>
      </c>
      <c r="B37" s="118" t="n">
        <v>541094</v>
      </c>
      <c r="C37" s="118" t="n">
        <v>978107</v>
      </c>
    </row>
    <row r="38">
      <c r="A38" s="131" t="n">
        <v>262144</v>
      </c>
      <c r="B38" s="118" t="n">
        <v>277474</v>
      </c>
      <c r="C38" s="118" t="n">
        <v>726142</v>
      </c>
    </row>
    <row r="39">
      <c r="A39" s="131" t="n">
        <v>524288</v>
      </c>
      <c r="B39" s="118" t="n">
        <v>140820</v>
      </c>
      <c r="C39" s="118" t="n">
        <v>478522</v>
      </c>
    </row>
    <row r="40"/>
    <row r="41" ht="153" customHeight="1">
      <c r="A41" s="90" t="inlineStr">
        <is>
          <t>SCOPE: the serving and training blocks below are component-scope systems benches (bAttention d1536 fwd+bwd internal-dynamics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8" t="inlineStr">
        <is>
          <t>Serving at long context — $/1M generated tokens, one 8xH100 box</t>
        </is>
      </c>
      <c r="B43" s="89" t="n"/>
      <c r="C43" s="89" t="n"/>
      <c r="D43" s="89" t="n"/>
      <c r="E43" s="89" t="n"/>
      <c r="F43" s="89" t="n"/>
    </row>
    <row r="44" ht="33" customHeight="1">
      <c r="A44" s="130" t="inlineStr">
        <is>
          <t>Context (tokens)</t>
        </is>
      </c>
      <c r="B44" s="130" t="inlineStr">
        <is>
          <t>bAttention $/1M tok</t>
        </is>
      </c>
      <c r="C44" s="132" t="inlineStr">
        <is>
          <t>Transformer $/1M tok (mature stack)</t>
        </is>
      </c>
      <c r="D44" s="132" t="inlineStr">
        <is>
          <t>TF streams/GPU</t>
        </is>
      </c>
      <c r="E44" s="130" t="inlineStr">
        <is>
          <t>Cost ratio</t>
        </is>
      </c>
      <c r="F44" s="130" t="inlineStr">
        <is>
          <t>Note</t>
        </is>
      </c>
    </row>
    <row r="45" ht="18" customHeight="1">
      <c r="A45" s="131" t="n">
        <v>4096</v>
      </c>
      <c r="B45" s="133" t="n">
        <v>1.235482541359387</v>
      </c>
      <c r="C45" s="134" t="n">
        <v>0.1695945640120853</v>
      </c>
      <c r="D45" s="128" t="n">
        <v>118</v>
      </c>
      <c r="E45" s="135" t="n">
        <v>0.1372698992779634</v>
      </c>
      <c r="F45" s="136" t="inlineStr"/>
    </row>
    <row r="46" ht="18" customHeight="1">
      <c r="A46" s="131" t="n">
        <v>16384</v>
      </c>
      <c r="B46" s="133" t="n">
        <v>1.235482541359387</v>
      </c>
      <c r="C46" s="134" t="n">
        <v>0.678378256048341</v>
      </c>
      <c r="D46" s="128" t="n">
        <v>29</v>
      </c>
      <c r="E46" s="135" t="n">
        <v>0.5490795971118535</v>
      </c>
      <c r="F46" s="136" t="inlineStr"/>
    </row>
    <row r="47" ht="18" customHeight="1">
      <c r="A47" s="131" t="n">
        <v>32768</v>
      </c>
      <c r="B47" s="133" t="n">
        <v>1.235482541359387</v>
      </c>
      <c r="C47" s="134" t="n">
        <v>1.356756512096682</v>
      </c>
      <c r="D47" s="128" t="n">
        <v>14</v>
      </c>
      <c r="E47" s="135" t="n">
        <v>1.098159194223707</v>
      </c>
      <c r="F47" s="136" t="inlineStr"/>
    </row>
    <row r="48" ht="18" customHeight="1">
      <c r="A48" s="131" t="n">
        <v>65536</v>
      </c>
      <c r="B48" s="133" t="n">
        <v>1.235482541359387</v>
      </c>
      <c r="C48" s="134" t="n">
        <v>2.713513024193364</v>
      </c>
      <c r="D48" s="128" t="n">
        <v>7</v>
      </c>
      <c r="E48" s="135" t="n">
        <v>2.196318388447414</v>
      </c>
      <c r="F48" s="136" t="inlineStr"/>
    </row>
    <row r="49" ht="18" customHeight="1">
      <c r="A49" s="131" t="n">
        <v>131072</v>
      </c>
      <c r="B49" s="133" t="n">
        <v>1.235482541359387</v>
      </c>
      <c r="C49" s="134" t="n">
        <v>5.427026048386728</v>
      </c>
      <c r="D49" s="128" t="n">
        <v>3</v>
      </c>
      <c r="E49" s="135" t="n">
        <v>4.392636776894828</v>
      </c>
      <c r="F49" s="136" t="inlineStr"/>
    </row>
    <row r="50" ht="33" customHeight="1">
      <c r="A50" s="131" t="n">
        <v>262144</v>
      </c>
      <c r="B50" s="133" t="n">
        <v>1.235482541359387</v>
      </c>
      <c r="C50" s="134" t="n">
        <v>10.85405209677346</v>
      </c>
      <c r="D50" s="128" t="n">
        <v>1</v>
      </c>
      <c r="E50" s="135" t="n">
        <v>8.785273553789656</v>
      </c>
      <c r="F50" s="136" t="inlineStr">
        <is>
          <t>a measured decode cell (64 streams/GPU against the transformer 1)</t>
        </is>
      </c>
    </row>
    <row r="51" ht="33" customHeight="1">
      <c r="A51" s="131" t="n">
        <v>1048576</v>
      </c>
      <c r="B51" s="137" t="n">
        <v>1.235482541359387</v>
      </c>
      <c r="C51" s="134" t="n">
        <v/>
      </c>
      <c r="D51" s="128" t="n">
        <v>0</v>
      </c>
      <c r="E51" s="135" t="n">
        <v/>
      </c>
      <c r="F51" s="136" t="inlineStr">
        <is>
          <t>bAttention rate extrapolated past 262k (flatness measured 4k-262k)</t>
        </is>
      </c>
    </row>
    <row r="52" ht="168" customHeight="1">
      <c r="A52" s="90"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8" t="inlineStr">
        <is>
          <t>Training at scale — same cluster, more steps/s</t>
        </is>
      </c>
      <c r="B54" s="89" t="n"/>
      <c r="C54" s="89" t="n"/>
      <c r="D54" s="89" t="n"/>
      <c r="E54" s="89" t="n"/>
      <c r="F54" s="89" t="n"/>
    </row>
    <row r="55">
      <c r="A55" s="130" t="inlineStr">
        <is>
          <t>Metric</t>
        </is>
      </c>
      <c r="B55" s="130" t="inlineStr">
        <is>
          <t>Value</t>
        </is>
      </c>
      <c r="C55" s="130" t="inlineStr">
        <is>
          <t>Ratio / consequence</t>
        </is>
      </c>
      <c r="D55" s="130" t="inlineStr"/>
      <c r="E55" s="130" t="inlineStr"/>
      <c r="F55" s="130" t="inlineStr">
        <is>
          <t>Status — internal measurement archive key</t>
        </is>
      </c>
    </row>
    <row r="56" ht="33" customHeight="1">
      <c r="A56" s="25" t="inlineStr">
        <is>
          <t>8-GPU speedup, matched load (16 in flight)</t>
        </is>
      </c>
      <c r="B56" s="138" t="inlineStr">
        <is>
          <t>x5.15 fwd+bwd vs x3.70 fwd-only Ulysses best</t>
        </is>
      </c>
      <c r="C56" s="139" t="inlineStr">
        <is>
          <t>x1.39 cluster throughput</t>
        </is>
      </c>
      <c r="F56" s="136" t="inlineStr">
        <is>
          <t>MEASURED — matched_load_curve</t>
        </is>
      </c>
    </row>
    <row r="57" ht="33" customHeight="1">
      <c r="A57" s="25" t="inlineStr">
        <is>
          <t>8-GPU speedup, deep load (256 in flight)</t>
        </is>
      </c>
      <c r="B57" s="138" t="inlineStr">
        <is>
          <t>x6.27 (pipeline keeps filling; TF saturated by 16)</t>
        </is>
      </c>
      <c r="C57" s="139" t="inlineStr">
        <is>
          <t>x1.70</t>
        </is>
      </c>
      <c r="F57" s="136" t="inlineStr">
        <is>
          <t>MEASURED — scaling_1to8_best</t>
        </is>
      </c>
    </row>
    <row r="58" ht="18" customHeight="1">
      <c r="A58" s="25" t="inlineStr">
        <is>
          <t>GPU-hours for the same training work</t>
        </is>
      </c>
      <c r="B58" s="140" t="inlineStr">
        <is>
          <t>-28% (matched) … -41% (deep)</t>
        </is>
      </c>
      <c r="C58" s="25" t="inlineStr"/>
      <c r="F58" s="136" t="inlineStr">
        <is>
          <t>derived</t>
        </is>
      </c>
    </row>
    <row r="59" ht="33" customHeight="1">
      <c r="A59" s="25" t="inlineStr">
        <is>
          <t>64k-token sequence on one 80 GB GPU</t>
        </is>
      </c>
      <c r="B59" s="138" t="inlineStr">
        <is>
          <t>30.9 GB fits vs OOM (78.4 GB attempted)</t>
        </is>
      </c>
      <c r="C59" s="25" t="inlineStr"/>
      <c r="F59" s="136" t="inlineStr">
        <is>
          <t>MEASURED — pipeline_feasibility</t>
        </is>
      </c>
    </row>
    <row r="60" ht="18" customHeight="1">
      <c r="A60" s="25" t="inlineStr">
        <is>
          <t>Pipeline per-GPU peak (flat in load)</t>
        </is>
      </c>
      <c r="B60" s="138" t="inlineStr">
        <is>
          <t>9.05 GB vs 43.3 GB GPipe stage</t>
        </is>
      </c>
      <c r="C60" s="139" t="inlineStr">
        <is>
          <t>x4.8 (component-scope, width-unmatched)</t>
        </is>
      </c>
      <c r="F60" s="136" t="inlineStr">
        <is>
          <t>MEASURED — pipeline_memory_asymmetry</t>
        </is>
      </c>
    </row>
    <row r="61" ht="18" customHeight="1">
      <c r="A61" s="25" t="inlineStr">
        <is>
          <t>Params for equal quality at 70B</t>
        </is>
      </c>
      <c r="B61" s="141" t="inlineStr">
        <is>
          <t>x4.1 [2.2-7.7] transformer</t>
        </is>
      </c>
      <c r="C61" s="25" t="inlineStr"/>
      <c r="F61" s="136" t="inlineStr">
        <is>
          <t>PROJECTION — quality_fit.ref_70B</t>
        </is>
      </c>
    </row>
    <row r="62" ht="33" customHeight="1">
      <c r="A62" s="25" t="inlineStr">
        <is>
          <t>Tokens for equal quality at 70B</t>
        </is>
      </c>
      <c r="B62" s="141" t="inlineStr">
        <is>
          <t>x1.68 [1.33-2.10] (beta=0.28 assumption)</t>
        </is>
      </c>
      <c r="C62" s="25" t="inlineStr"/>
      <c r="F62" s="136" t="inlineStr">
        <is>
          <t>PROJECTION — quality_fit.ref_70B</t>
        </is>
      </c>
    </row>
    <row r="63" ht="33" customHeight="1">
      <c r="A63" s="25" t="inlineStr">
        <is>
          <t>Token-by-token vs production training</t>
        </is>
      </c>
      <c r="B63" s="138" t="inlineStr">
        <is>
          <t>x24 cost to run training token-by-token instead of the production path</t>
        </is>
      </c>
      <c r="C63" s="25" t="inlineStr"/>
      <c r="F63" s="136" t="inlineStr">
        <is>
          <t>MEASURED — token-by-token ratio</t>
        </is>
      </c>
    </row>
    <row r="64"/>
    <row r="65">
      <c r="A65" s="88" t="inlineStr">
        <is>
          <t>The measured workload blend (pre-campaign background; the workbook lever lives at Inputs B24-B29)</t>
        </is>
      </c>
      <c r="B65" s="89" t="n"/>
      <c r="C65" s="89" t="n"/>
      <c r="D65" s="89" t="n"/>
      <c r="E65" s="89" t="n"/>
      <c r="F65" s="89" t="n"/>
    </row>
    <row r="66" ht="603" customHeight="1">
      <c r="A66" s="90"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B24-B34 fold in the banked kernel results, the 2026-10-01 per-layer decode receipt and the equal-quality size factor.</t>
        </is>
      </c>
    </row>
    <row r="67"/>
    <row r="68">
      <c r="A68" s="88" t="inlineStr">
        <is>
          <t>Estimated TRAINING cost at equal quality (ESTIMATE: measured kernels x fitted quality)</t>
        </is>
      </c>
      <c r="B68" s="89" t="n"/>
      <c r="C68" s="89" t="n"/>
      <c r="D68" s="89" t="n"/>
      <c r="E68" s="89" t="n"/>
      <c r="F68" s="89" t="n"/>
    </row>
    <row r="69" ht="558" customHeight="1">
      <c r="A69" s="90"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(the transformer's fused attention kernel is linear per token), our fixed-size internal state pays ~flat -- with base and attn fitted to the 2k and 8k cells ONLY. The fit is flat -- the +5.8%-per-4x residual and the B4/T32,768 ~equal-cost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30" t="inlineStr">
        <is>
          <t>Transformer params</t>
        </is>
      </c>
      <c r="B71" s="130" t="inlineStr">
        <is>
          <t>s(N) fit</t>
        </is>
      </c>
      <c r="C71" s="130" t="inlineStr">
        <is>
          <t>Chinchilla 2k</t>
        </is>
      </c>
      <c r="D71" s="130" t="inlineStr">
        <is>
          <t>Chinchilla 8k</t>
        </is>
      </c>
      <c r="E71" s="132" t="inlineStr">
        <is>
          <t>Chinchilla 32k</t>
        </is>
      </c>
      <c r="F71" s="130" t="inlineStr">
        <is>
          <t>Chinchilla 256k*</t>
        </is>
      </c>
      <c r="G71" s="130" t="inlineStr">
        <is>
          <t>Fixed-D 2k / 8k / 32k / 256k*</t>
        </is>
      </c>
    </row>
    <row r="72">
      <c r="A72" s="25" t="inlineStr">
        <is>
          <t>1B</t>
        </is>
      </c>
      <c r="B72" s="122" t="n">
        <v>1.187536580013817</v>
      </c>
      <c r="C72" s="115" t="n">
        <v>0.8215525301701575</v>
      </c>
      <c r="D72" s="115" t="n">
        <v>1.151570796996963</v>
      </c>
      <c r="E72" s="115" t="n">
        <v>2.471643864304184</v>
      </c>
      <c r="F72" s="115" t="n">
        <v>14.79232582583825</v>
      </c>
      <c r="G72" s="139" t="inlineStr">
        <is>
          <t>0.69 / 0.97 / 2.08 / 12.46</t>
        </is>
      </c>
    </row>
    <row r="73">
      <c r="A73" s="25" t="inlineStr">
        <is>
          <t>10B</t>
        </is>
      </c>
      <c r="B73" s="122" t="n">
        <v>1.811968550196262</v>
      </c>
      <c r="C73" s="115" t="n">
        <v>1.912681494778985</v>
      </c>
      <c r="D73" s="115" t="n">
        <v>2.681007084096966</v>
      </c>
      <c r="E73" s="115" t="n">
        <v>5.754309441368888</v>
      </c>
      <c r="F73" s="115" t="n">
        <v>34.43846477590683</v>
      </c>
      <c r="G73" s="139" t="inlineStr">
        <is>
          <t>1.06 / 1.48 / 3.18 / 19.01</t>
        </is>
      </c>
    </row>
    <row r="74">
      <c r="A74" s="25" t="inlineStr">
        <is>
          <t>100B</t>
        </is>
      </c>
      <c r="B74" s="122" t="n">
        <v>2.764740120141925</v>
      </c>
      <c r="C74" s="115" t="n">
        <v>4.452972106010361</v>
      </c>
      <c r="D74" s="115" t="n">
        <v>6.241734336892029</v>
      </c>
      <c r="E74" s="115" t="n">
        <v>13.3967832604187</v>
      </c>
      <c r="F74" s="115" t="n">
        <v>80.17723988000094</v>
      </c>
      <c r="G74" s="139" t="inlineStr">
        <is>
          <t>1.61 / 2.26 / 4.85 / 29.00</t>
        </is>
      </c>
    </row>
    <row r="75">
      <c r="A75" s="25" t="inlineStr">
        <is>
          <t>1T</t>
        </is>
      </c>
      <c r="B75" s="122" t="n">
        <v>4.21849922897088</v>
      </c>
      <c r="C75" s="115" t="n">
        <v>10.36710013195259</v>
      </c>
      <c r="D75" s="115" t="n">
        <v>14.53157202136217</v>
      </c>
      <c r="E75" s="115" t="n">
        <v>31.1894595790005</v>
      </c>
      <c r="F75" s="115" t="n">
        <v>186.6630767836249</v>
      </c>
      <c r="G75" s="139" t="inlineStr">
        <is>
          <t>2.46 / 3.44 / 7.39 / 44.25</t>
        </is>
      </c>
    </row>
    <row r="76">
      <c r="A76" s="25" t="inlineStr">
        <is>
          <t>10T</t>
        </is>
      </c>
      <c r="B76" s="122" t="n">
        <v>6.436675771144228</v>
      </c>
      <c r="C76" s="115" t="n">
        <v>24.13596191201503</v>
      </c>
      <c r="D76" s="115" t="n">
        <v>33.83139589327395</v>
      </c>
      <c r="E76" s="115" t="n">
        <v>72.61313181830963</v>
      </c>
      <c r="F76" s="115" t="n">
        <v>434.576000451976</v>
      </c>
      <c r="G76" s="139" t="inlineStr">
        <is>
          <t>3.75 / 5.26 / 11.28 / 67.52</t>
        </is>
      </c>
    </row>
    <row r="77"/>
    <row r="78" ht="393" customHeight="1">
      <c r="A78" s="90"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78" customHeight="1">
      <c r="A80" s="130" t="inlineStr">
        <is>
          <t>Training curriculum</t>
        </is>
      </c>
      <c r="B80" s="130" t="inlineStr">
        <is>
          <t>Advantage (TF / ours)</t>
        </is>
      </c>
      <c r="C80" s="130" t="inlineStr">
        <is>
          <t>Effective r</t>
        </is>
      </c>
      <c r="D80" s="132" t="inlineStr">
        <is>
          <t>Mix: token share -&gt; transformer cost share</t>
        </is>
      </c>
      <c r="E80" s="132" t="inlineStr">
        <is>
          <t>FY2026 cut @ 20% training (technical ledger)</t>
        </is>
      </c>
      <c r="F80" s="130" t="inlineStr">
        <is>
          <t>vs serving-only</t>
        </is>
      </c>
      <c r="G80" s="130" t="inlineStr">
        <is>
          <t>Status</t>
        </is>
      </c>
    </row>
    <row r="81" ht="48" customHeight="1">
      <c r="A81" s="25" t="inlineStr">
        <is>
          <t>Legacy short (all training at 2k)</t>
        </is>
      </c>
      <c r="B81" s="142" t="n">
        <v>0.5825609168739004</v>
      </c>
      <c r="C81" s="143" t="n">
        <v>1.716558682594317</v>
      </c>
      <c r="D81" s="136" t="inlineStr">
        <is>
          <t>2k: 100% tok -&gt; 100% cost</t>
        </is>
      </c>
      <c r="E81" s="144" t="n">
        <v>359.5836422926002</v>
      </c>
      <c r="F81" s="145" t="n">
        <v>-25.69871133130243</v>
      </c>
      <c r="G81" s="146" t="inlineStr">
        <is>
          <t>MEASURED (degenerate one-context case)</t>
        </is>
      </c>
    </row>
    <row r="82" ht="108" customHeight="1">
      <c r="A82" s="25" t="inlineStr">
        <is>
          <t>Modern standard (8k bulk + 64k/256k extension)</t>
        </is>
      </c>
      <c r="B82" s="142" t="n">
        <v>2.220667013967386</v>
      </c>
      <c r="C82" s="143" t="n">
        <v>0.4503151502275102</v>
      </c>
      <c r="D82" s="136" t="inlineStr">
        <is>
          <t>8k: 70% tok -&gt; 26% cost  64k: 20% tok -&gt; 27% cost  256k: 10% tok -&gt; 47% cost</t>
        </is>
      </c>
      <c r="E82" s="144" t="n">
        <v>368.8430434275834</v>
      </c>
      <c r="F82" s="145" t="n">
        <v>-16.43931019631918</v>
      </c>
      <c r="G82" s="147" t="inlineStr">
        <is>
          <t>ILLUSTRATIVE ASSUMPTION</t>
        </is>
      </c>
    </row>
    <row r="83" ht="138" customHeight="1">
      <c r="A83" s="25" t="inlineStr">
        <is>
          <t>Long-context heavy (frontier extension phases)</t>
        </is>
      </c>
      <c r="B83" s="142" t="n">
        <v>7.743424712739709</v>
      </c>
      <c r="C83" s="143" t="n">
        <v>0.1291418251093435</v>
      </c>
      <c r="D83" s="136" t="inlineStr">
        <is>
          <t>8k: 40% tok -&gt; 4% cost  64k: 25% tok -&gt; 10% cost  256k: 25% tok -&gt; 34% cost  1024k: 10% tok -&gt; 52% cost</t>
        </is>
      </c>
      <c r="E83" s="144" t="n">
        <v>371.191622176544</v>
      </c>
      <c r="F83" s="145" t="n">
        <v>-14.09073144735862</v>
      </c>
      <c r="G83" s="147" t="inlineStr">
        <is>
          <t>ILLUSTRATIVE ASSUMPTION</t>
        </is>
      </c>
    </row>
    <row r="84" ht="138" customHeight="1">
      <c r="A84" s="25" t="inlineStr">
        <is>
          <t>Frontier + long-rollout RL</t>
        </is>
      </c>
      <c r="B84" s="142" t="n">
        <v>12.08050561742532</v>
      </c>
      <c r="C84" s="143" t="n">
        <v>0.08277799221893223</v>
      </c>
      <c r="D84" s="136" t="inlineStr">
        <is>
          <t>8k: 30% tok -&gt; 2% cost  64k: 20% tok -&gt; 5% cost  256k: 30% tok -&gt; 26% cost  1024k: 20% tok -&gt; 67% cost</t>
        </is>
      </c>
      <c r="E84" s="144" t="n">
        <v>371.5306575326301</v>
      </c>
      <c r="F84" s="145" t="n">
        <v>-13.75169609127255</v>
      </c>
      <c r="G84" s="147" t="inlineStr">
        <is>
          <t>ILLUSTRATIVE ASSUMPTION</t>
        </is>
      </c>
    </row>
    <row r="85"/>
    <row r="86" ht="273" customHeight="1">
      <c r="A86" s="90" t="inlineStr">
        <is>
          <t>EXCLUDED, AND IT RUNS OUR WAY. At 262k+ the transformer additionally pays sequence-parallelism and activation-memory costs a fixed-size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90"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30" t="inlineStr">
        <is>
          <t>Context (tokens)</t>
        </is>
      </c>
      <c r="B90" s="130" t="inlineStr">
        <is>
          <t>Transformer ms</t>
        </is>
      </c>
      <c r="C90" s="130" t="inlineStr">
        <is>
          <t>bAttention ms</t>
        </is>
      </c>
      <c r="D90" s="130" t="inlineStr">
        <is>
          <t>TF / bAttention</t>
        </is>
      </c>
      <c r="E90" s="130" t="inlineStr"/>
      <c r="F90" s="130" t="inlineStr">
        <is>
          <t>Note</t>
        </is>
      </c>
    </row>
    <row r="91" ht="18" customHeight="1">
      <c r="A91" s="131" t="n">
        <v>2048</v>
      </c>
      <c r="B91" s="91" t="n">
        <v>111.229</v>
      </c>
      <c r="C91" s="148" t="n">
        <v>663.1130000000001</v>
      </c>
      <c r="D91" s="142" t="n">
        <v>0.16773762541226</v>
      </c>
      <c r="F91" s="136" t="inlineStr">
        <is>
          <t>transformer ahead</t>
        </is>
      </c>
    </row>
    <row r="92" ht="18" customHeight="1">
      <c r="A92" s="131" t="n">
        <v>4096</v>
      </c>
      <c r="B92" s="91" t="n">
        <v>125.091</v>
      </c>
      <c r="C92" s="148" t="n">
        <v>662.751</v>
      </c>
      <c r="D92" s="142" t="n">
        <v>0.1887450943114382</v>
      </c>
      <c r="F92" s="136" t="inlineStr">
        <is>
          <t>transformer ahead</t>
        </is>
      </c>
    </row>
    <row r="93" ht="18" customHeight="1">
      <c r="A93" s="131" t="n">
        <v>8192</v>
      </c>
      <c r="B93" s="91" t="n">
        <v>153.085</v>
      </c>
      <c r="C93" s="148" t="n">
        <v>663.327</v>
      </c>
      <c r="D93" s="142" t="n">
        <v>0.2307836104967836</v>
      </c>
      <c r="F93" s="136" t="inlineStr">
        <is>
          <t>transformer ahead</t>
        </is>
      </c>
    </row>
    <row r="94" ht="18" customHeight="1">
      <c r="A94" s="131" t="n">
        <v>16384</v>
      </c>
      <c r="B94" s="91" t="n">
        <v>204.919</v>
      </c>
      <c r="C94" s="148" t="n">
        <v>663.202</v>
      </c>
      <c r="D94" s="142" t="n">
        <v>0.3089842913622094</v>
      </c>
      <c r="F94" s="136" t="inlineStr">
        <is>
          <t>transformer ahead</t>
        </is>
      </c>
    </row>
    <row r="95" ht="18" customHeight="1">
      <c r="A95" s="131" t="n">
        <v>32768</v>
      </c>
      <c r="B95" s="91" t="n">
        <v>309.886</v>
      </c>
      <c r="C95" s="148" t="n">
        <v>662.6180000000001</v>
      </c>
      <c r="D95" s="142" t="n">
        <v>0.4676691547769605</v>
      </c>
      <c r="F95" s="136" t="inlineStr">
        <is>
          <t>transformer ahead</t>
        </is>
      </c>
    </row>
    <row r="96" ht="18" customHeight="1">
      <c r="A96" s="131" t="n">
        <v>65536</v>
      </c>
      <c r="B96" s="91" t="n">
        <v>520.986</v>
      </c>
      <c r="C96" s="148" t="n">
        <v>663.199</v>
      </c>
      <c r="D96" s="142" t="n">
        <v>0.7855651169558459</v>
      </c>
      <c r="F96" s="136" t="inlineStr">
        <is>
          <t>transformer ahead</t>
        </is>
      </c>
    </row>
    <row r="97" ht="18" customHeight="1">
      <c r="A97" s="131" t="n">
        <v>131072</v>
      </c>
      <c r="B97" s="91" t="n">
        <v>969.79</v>
      </c>
      <c r="C97" s="148" t="n">
        <v>753.457</v>
      </c>
      <c r="D97" s="142" t="n">
        <v>1.287120565606265</v>
      </c>
      <c r="F97" s="136" t="inlineStr"/>
    </row>
    <row r="98" ht="18" customHeight="1">
      <c r="A98" s="131" t="n">
        <v>262144</v>
      </c>
      <c r="B98" s="91" t="n">
        <v>1889.616</v>
      </c>
      <c r="C98" s="148" t="n">
        <v>938.175</v>
      </c>
      <c r="D98" s="142" t="n">
        <v>2.014140219042289</v>
      </c>
      <c r="F98" s="136" t="inlineStr"/>
    </row>
    <row r="99" ht="18" customHeight="1">
      <c r="A99" s="131" t="n">
        <v>524288</v>
      </c>
      <c r="B99" s="91" t="n">
        <v>3718.717</v>
      </c>
      <c r="C99" s="148" t="n">
        <v>1308.837</v>
      </c>
      <c r="D99" s="142" t="n">
        <v>2.841237678947035</v>
      </c>
      <c r="F99" s="136" t="inlineStr"/>
    </row>
    <row r="100"/>
    <row r="101">
      <c r="A101" s="88" t="inlineStr">
        <is>
          <t>Assumptions — one row each (MEASURED / PROJECTION / ASSUMPTION)</t>
        </is>
      </c>
      <c r="B101" s="89" t="n"/>
      <c r="C101" s="89" t="n"/>
      <c r="D101" s="89" t="n"/>
      <c r="E101" s="89" t="n"/>
      <c r="F101" s="89" t="n"/>
    </row>
    <row r="102">
      <c r="A102" s="130" t="inlineStr">
        <is>
          <t>Assumption</t>
        </is>
      </c>
      <c r="B102" s="130" t="inlineStr">
        <is>
          <t>Value</t>
        </is>
      </c>
      <c r="C102" s="130" t="inlineStr"/>
      <c r="D102" s="130" t="inlineStr"/>
      <c r="E102" s="130" t="inlineStr">
        <is>
          <t>Status</t>
        </is>
      </c>
      <c r="F102" s="130" t="inlineStr">
        <is>
          <t>Source</t>
        </is>
      </c>
    </row>
    <row r="103" ht="288" customHeight="1">
      <c r="A103" s="25" t="inlineStr">
        <is>
          <t>Compute lever (2026-10-01 re-base)</t>
        </is>
      </c>
      <c r="B103" s="136" t="inlineStr">
        <is>
          <t>x768 = tokens per GPU at equal size x182.1 (H5 x256 conversations per GPU x H6 x0.74 decode step per layer; per-layer d2048 steps MEASURED 2026-10-01 incl. FFN on both arms (ours uncompiled, a floor), depth / grouped-query cache / feasible batch MODELLED at the ~90-layer FRONTIER geometry of record (the model; the 24-layer measured comparator reads H5 x H6 = x364), prompt share at the banked prefill x3.94) x the x4.22 FIT-DERIVED equal-quality size factor at trillion scale (reinstated 2026-10-01); Optimized kernels = x782 (prefill at the full x7.03). The former 2.5 ms per token x 64-stream aggregate-decode ESTIMATE (x1553 with the size factor) is SUPERSEDED and kept for history</t>
        </is>
      </c>
      <c r="E103" s="141" t="inlineStr">
        <is>
          <t>MEASURED x PROJECTION</t>
        </is>
      </c>
      <c r="F103" s="136" t="inlineStr">
        <is>
          <t>the model; the model (internal measurement archive)</t>
        </is>
      </c>
    </row>
    <row r="104" ht="123" customHeight="1">
      <c r="A104" s="25" t="inlineStr">
        <is>
          <t>Equal-quality parameter matching</t>
        </is>
      </c>
      <c r="B104" s="136"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7" t="inlineStr">
        <is>
          <t>PROJECTION</t>
        </is>
      </c>
      <c r="F104" s="136" t="inlineStr">
        <is>
          <t>internal measurement archive param_matching; fits over the sealed rope-convention ladder</t>
        </is>
      </c>
    </row>
    <row r="105" ht="213" customHeight="1">
      <c r="A105" s="25" t="inlineStr">
        <is>
          <t>Single-GPU training step (AGAINST us)</t>
        </is>
      </c>
      <c r="B105" s="136"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6" t="inlineStr">
        <is>
          <t>MEASURED</t>
        </is>
      </c>
      <c r="F105" s="136" t="inlineStr">
        <is>
          <t>2026-08-24 GH200 megakernel measurement; prior: internal measurement archive rows[fp16]</t>
        </is>
      </c>
    </row>
    <row r="106" ht="138" customHeight="1">
      <c r="A106" s="25" t="inlineStr">
        <is>
          <t>Training PEAK MEMORY (AGAINST us)</t>
        </is>
      </c>
      <c r="B106" s="136"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6" t="inlineStr">
        <is>
          <t>MEASURED</t>
        </is>
      </c>
      <c r="F106" s="136" t="inlineStr">
        <is>
          <t>2026-08-24 GH200 megakernel measurement</t>
        </is>
      </c>
    </row>
    <row r="107" ht="153" customHeight="1">
      <c r="A107" s="25" t="inlineStr">
        <is>
          <t>Kernel program (TARGET, not a result)</t>
        </is>
      </c>
      <c r="B107" s="136"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7" t="inlineStr">
        <is>
          <t>TARGET</t>
        </is>
      </c>
      <c r="F107" s="136" t="inlineStr">
        <is>
          <t>kernel-campaign program plan, 2026-08-24 — no receipt behind the target half</t>
        </is>
      </c>
    </row>
    <row r="108" ht="258" customHeight="1">
      <c r="A108" s="25" t="inlineStr">
        <is>
          <t>Context scaling of the training gap</t>
        </is>
      </c>
      <c r="B108" s="136"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41" t="inlineStr">
        <is>
          <t>MEASURED (2 ratio points) + PROJECTION</t>
        </is>
      </c>
      <c r="F108" s="136" t="inlineStr">
        <is>
          <t>2026-08-24 GH200 megakernel measurement; 2k cell re-based 2026-08-25</t>
        </is>
      </c>
    </row>
    <row r="109" ht="273" customHeight="1">
      <c r="A109" s="25" t="inlineStr">
        <is>
          <t>Training CONTEXT MIX (reads the other way)</t>
        </is>
      </c>
      <c r="B109" s="136"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41" t="inlineStr">
        <is>
          <t>MEASURED r(T) + ILLUSTRATIVE mix</t>
        </is>
      </c>
      <c r="F109" s="136" t="inlineStr">
        <is>
          <t>the model, the model, the model</t>
        </is>
      </c>
    </row>
    <row r="110" ht="318" customHeight="1">
      <c r="A110" s="136" t="inlineStr">
        <is>
          <t>Long-context training memory (EXCLUDED, runs our way)</t>
        </is>
      </c>
      <c r="B110" s="136"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41" t="inlineStr">
        <is>
          <t>DIRECTIONAL — measured components, not a costed lever</t>
        </is>
      </c>
      <c r="F110" s="136" t="inlineStr">
        <is>
          <t>the model mem_ratio_2k/8k; the model</t>
        </is>
      </c>
    </row>
    <row r="111" ht="33" customHeight="1">
      <c r="A111" s="25" t="inlineStr">
        <is>
          <t>$/GPU-hour</t>
        </is>
      </c>
      <c r="B111" s="136" t="inlineStr">
        <is>
          <t>$2.50 (H100 rent, neocloud/committed mid; ladder 2.00-3.50)</t>
        </is>
      </c>
      <c r="E111" s="147" t="inlineStr">
        <is>
          <t>ASSUMPTION</t>
        </is>
      </c>
      <c r="F111" s="136" t="inlineStr">
        <is>
          <t>this file's CostLadder row — unchanged rate basis</t>
        </is>
      </c>
    </row>
    <row r="112" ht="18" customHeight="1">
      <c r="A112" s="25" t="inlineStr">
        <is>
          <t>Utilization</t>
        </is>
      </c>
      <c r="B112" s="136" t="inlineStr">
        <is>
          <t>85%</t>
        </is>
      </c>
      <c r="E112" s="147" t="inlineStr">
        <is>
          <t>ASSUMPTION</t>
        </is>
      </c>
      <c r="F112" s="136" t="inlineStr">
        <is>
          <t>same value as the ladder's owned-TCO cross-check</t>
        </is>
      </c>
    </row>
    <row r="113" ht="93" customHeight="1">
      <c r="A113" s="25" t="inlineStr">
        <is>
          <t>Context-length mix</t>
        </is>
      </c>
      <c r="B113" s="136" t="inlineStr">
        <is>
          <t>headline quoted at 262k (a measured decode cell); table sweeps 4k-1M. The decode lever crosses 1 at ~29,800 tokens and BELOW that the transformer serves more tokens per GPU-second than we do — stated on every surface</t>
        </is>
      </c>
      <c r="E113" s="147" t="inlineStr">
        <is>
          <t>ASSUMPTION</t>
        </is>
      </c>
      <c r="F113" s="136" t="inlineStr">
        <is>
          <t>serving_cost_curve, decode_throughput_ratio</t>
        </is>
      </c>
    </row>
    <row r="114" ht="213" customHeight="1">
      <c r="A114" s="136" t="inlineStr">
        <is>
          <t>Decode lever is MEMORY-CEILING, not latency (READ FIRST)</t>
        </is>
      </c>
      <c r="B114" s="136"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6" t="inlineStr">
        <is>
          <t>MEASURED</t>
        </is>
      </c>
      <c r="F114" s="136" t="inlineStr">
        <is>
          <t>internal measurement archive; the model</t>
        </is>
      </c>
    </row>
    <row r="115" ht="168" customHeight="1">
      <c r="A115" s="25" t="inlineStr">
        <is>
          <t>Transformer-stack maturity</t>
        </is>
      </c>
      <c r="B115" s="136"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7" t="inlineStr">
        <is>
          <t>ASSUMPTION</t>
        </is>
      </c>
      <c r="F115" s="136" t="inlineStr">
        <is>
          <t>the model</t>
        </is>
      </c>
    </row>
    <row r="116" ht="123" customHeight="1">
      <c r="A116" s="25" t="inlineStr">
        <is>
          <t>bAttention serving throughput</t>
        </is>
      </c>
      <c r="B116" s="136"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6" t="inlineStr">
        <is>
          <t>MEASURED</t>
        </is>
      </c>
      <c r="F116" s="136" t="inlineStr">
        <is>
          <t>internal measurement archive rows[bAttention, 64 streams]</t>
        </is>
      </c>
    </row>
    <row r="117" ht="93" customHeight="1">
      <c r="A117" s="25" t="inlineStr">
        <is>
          <t>bAttention per-stream state</t>
        </is>
      </c>
      <c r="B117" s="136" t="inlineStr">
        <is>
          <t>25.4 MB/stream, the FULL internal cell (h + M memory), 24.2 MiB measured, context-flat. The 0.15 MB figure previously quoted was an h-carry-only proxy with no M memory and is retired as a headline</t>
        </is>
      </c>
      <c r="E117" s="146" t="inlineStr">
        <is>
          <t>MEASURED</t>
        </is>
      </c>
      <c r="F117" s="136" t="inlineStr">
        <is>
          <t>internal measurement archive state_bytes_per_stream</t>
        </is>
      </c>
    </row>
    <row r="118" ht="153" customHeight="1">
      <c r="A118" s="25" t="inlineStr">
        <is>
          <t>Transformer KV wall</t>
        </is>
      </c>
      <c r="B118" s="136"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6" t="inlineStr">
        <is>
          <t>MEASURED</t>
        </is>
      </c>
      <c r="F118" s="136" t="inlineStr">
        <is>
          <t>internal measurement archive rows[transformer]</t>
        </is>
      </c>
    </row>
    <row r="119" ht="63" customHeight="1">
      <c r="A119" s="25" t="inlineStr">
        <is>
          <t>Training throughput at 8 GPUs</t>
        </is>
      </c>
      <c r="B119" s="136" t="inlineStr">
        <is>
          <t>x5.15 (bAttention, fwd+bwd) vs x3.70 (transformer Ulysses best, forward-only) at matched 16-in-flight load -&gt; x1.39; x6.27 at 256 in flight -&gt; x1.70</t>
        </is>
      </c>
      <c r="E119" s="146" t="inlineStr">
        <is>
          <t>MEASURED</t>
        </is>
      </c>
      <c r="F119" s="136" t="inlineStr">
        <is>
          <t>internal measurement archive matched_load_curve, scaling_1to8_best</t>
        </is>
      </c>
    </row>
    <row r="120" ht="48" customHeight="1">
      <c r="A120" s="25" t="inlineStr">
        <is>
          <t>Memory walls (component scope)</t>
        </is>
      </c>
      <c r="B120" s="136" t="inlineStr">
        <is>
          <t>64k-token sequence: 30.9 GB (fits 1 GPU) vs OOM at 78.4 GB attempted; pipeline stage 9.05 GB flat vs GPipe 43.3 GB</t>
        </is>
      </c>
      <c r="E120" s="146" t="inlineStr">
        <is>
          <t>MEASURED</t>
        </is>
      </c>
      <c r="F120" s="136" t="inlineStr">
        <is>
          <t>internal measurement archive pipeline_feasibility, pipeline_memory_asymmetry</t>
        </is>
      </c>
    </row>
    <row r="121" ht="168" customHeight="1">
      <c r="A121" s="25" t="inlineStr">
        <is>
          <t>Compute lever (flop_factor)</t>
        </is>
      </c>
      <c r="B121" s="136"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6" t="inlineStr">
        <is>
          <t>MEASURED</t>
        </is>
      </c>
      <c r="F121" s="136" t="inlineStr">
        <is>
          <t>matched_d{512,1024,2048}internal measurement archive (2026-07-21)</t>
        </is>
      </c>
    </row>
    <row r="122" ht="108" customHeight="1">
      <c r="A122" s="25" t="inlineStr">
        <is>
          <t>Compute, fp32 lane (scope reference)</t>
        </is>
      </c>
      <c r="B122" s="136"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7" t="inlineStr">
        <is>
          <t>LABEL</t>
        </is>
      </c>
      <c r="F122" s="136" t="inlineStr">
        <is>
          <t>internal measurement archive sdpa_fp32_backend_probe + last_route_attestation</t>
        </is>
      </c>
    </row>
    <row r="123" ht="93" customHeight="1">
      <c r="A123" s="25" t="inlineStr">
        <is>
          <t>16-bit IO (training)</t>
        </is>
      </c>
      <c r="B123" s="136" t="inlineStr">
        <is>
          <t>same-arch GH200 gate at d1536: fp16 x1.185 step time and -17.5% peak memory, bf16 x1.171 and -20.6%; quality deltas +0.001 to +0.004 from the gate's smaller vehicle. Reported on its own; not an input to the compute lever</t>
        </is>
      </c>
      <c r="E123" s="146" t="inlineStr">
        <is>
          <t>MEASURED</t>
        </is>
      </c>
      <c r="F123" s="136" t="inlineStr">
        <is>
          <t>internal measurement archive (2026-08-09)</t>
        </is>
      </c>
    </row>
    <row r="124" ht="63" customHeight="1">
      <c r="A124" s="25" t="inlineStr">
        <is>
          <t>Quality parity at 70B</t>
        </is>
      </c>
      <c r="B124" s="136" t="inlineStr">
        <is>
          <t>transformer needs x4.1 params [2.2-7.7] or x1.7 tokens [1.33-2.10, beta=0.28 assumption]; crossover N* ~321M = the top measured rung</t>
        </is>
      </c>
      <c r="E124" s="147" t="inlineStr">
        <is>
          <t>PROJECTION</t>
        </is>
      </c>
      <c r="F124" s="136" t="inlineStr">
        <is>
          <t>internal measurement archive quality_fit.ref_70B, parity_cost</t>
        </is>
      </c>
    </row>
    <row r="125" ht="78" customHeight="1">
      <c r="A125" s="25" t="inlineStr">
        <is>
          <t>Scope</t>
        </is>
      </c>
      <c r="B125" s="136" t="inlineStr">
        <is>
          <t>systems numbers are component-scope (bAttention d1536 fwd+bwd h-internal dynamics sub-block vs transformer d2048 forward-only layer); every speedup is vs the family's OWN 1-GPU baseline</t>
        </is>
      </c>
      <c r="E125" s="147" t="inlineStr">
        <is>
          <t>LABEL</t>
        </is>
      </c>
      <c r="F125" s="136"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8" t="inlineStr">
        <is>
          <t>EVIDENCE — cost split, accelerator share, own-silicon TCO, filing data</t>
        </is>
      </c>
      <c r="B1" s="89" t="n"/>
      <c r="C1" s="89" t="n"/>
      <c r="D1" s="89" t="n"/>
    </row>
    <row r="2"/>
    <row r="3" ht="18" customHeight="1">
      <c r="A3" s="94" t="inlineStr">
        <is>
          <t>GPU cost split (BOM)</t>
        </is>
      </c>
      <c r="B3" t="inlineStr">
        <is>
          <t>$ cost</t>
        </is>
      </c>
      <c r="C3" t="inlineStr">
        <is>
          <t>% COGS</t>
        </is>
      </c>
      <c r="D3" s="90" t="inlineStr">
        <is>
          <t>Method 1: teardown = true resource cost</t>
        </is>
      </c>
    </row>
    <row r="4" ht="18" customHeight="1">
      <c r="A4" t="inlineStr">
        <is>
          <t>H100: HBM3 memory (80GB)</t>
        </is>
      </c>
      <c r="B4" t="n">
        <v>1350</v>
      </c>
      <c r="C4" t="inlineStr">
        <is>
          <t>41%</t>
        </is>
      </c>
      <c r="D4" s="90" t="inlineStr">
        <is>
          <t>MEMORY</t>
        </is>
      </c>
    </row>
    <row r="5" ht="18" customHeight="1">
      <c r="A5" t="inlineStr">
        <is>
          <t>H100: CoWoS packaging</t>
        </is>
      </c>
      <c r="B5" t="n">
        <v>750</v>
      </c>
      <c r="C5" t="inlineStr">
        <is>
          <t>23%</t>
        </is>
      </c>
      <c r="D5" s="90" t="inlineStr">
        <is>
          <t>mostly memory (interposer hosts HBM)</t>
        </is>
      </c>
    </row>
    <row r="6" ht="18" customHeight="1">
      <c r="A6" t="inlineStr">
        <is>
          <t>H100: test &amp; assembly</t>
        </is>
      </c>
      <c r="B6" t="n">
        <v>920</v>
      </c>
      <c r="C6" t="inlineStr">
        <is>
          <t>28%</t>
        </is>
      </c>
      <c r="D6" s="90" t="inlineStr">
        <is>
          <t>shared</t>
        </is>
      </c>
    </row>
    <row r="7" ht="18" customHeight="1">
      <c r="A7" t="inlineStr">
        <is>
          <t>H100: logic die (compute)</t>
        </is>
      </c>
      <c r="B7" t="n">
        <v>300</v>
      </c>
      <c r="C7" t="inlineStr">
        <is>
          <t>9%</t>
        </is>
      </c>
      <c r="D7" s="90" t="inlineStr">
        <is>
          <t>COMPUTE -- cheapest part</t>
        </is>
      </c>
    </row>
    <row r="8" ht="18" customHeight="1">
      <c r="A8" t="inlineStr">
        <is>
          <t>H100 total COGS</t>
        </is>
      </c>
      <c r="B8" t="n">
        <v>3320</v>
      </c>
      <c r="C8" t="inlineStr">
        <is>
          <t>100%</t>
        </is>
      </c>
      <c r="D8" s="90" t="inlineStr">
        <is>
          <t>sells ~$28k -&gt; ~88% margin</t>
        </is>
      </c>
    </row>
    <row r="9" ht="18" customHeight="1">
      <c r="A9" t="inlineStr">
        <is>
          <t>B200 total COGS</t>
        </is>
      </c>
      <c r="B9" t="n">
        <v>6400</v>
      </c>
      <c r="C9" t="inlineStr">
        <is>
          <t>HBM 45%</t>
        </is>
      </c>
      <c r="D9" s="90" t="inlineStr">
        <is>
          <t>memory &gt; logic die; sells ~$40k -&gt; ~84% margin</t>
        </is>
      </c>
    </row>
    <row r="10"/>
    <row r="11" ht="18" customHeight="1">
      <c r="A11" s="94" t="inlineStr">
        <is>
          <t>Accelerator share of server BOM</t>
        </is>
      </c>
      <c r="B11" t="inlineStr"/>
      <c r="C11" t="inlineStr"/>
      <c r="D11" s="90" t="inlineStr">
        <is>
          <t>for accel-within-server share</t>
        </is>
      </c>
    </row>
    <row r="12" ht="18" customHeight="1">
      <c r="A12" t="inlineStr">
        <is>
          <t>8x H100 server (J.P. Morgan)</t>
        </is>
      </c>
      <c r="B12" t="inlineStr">
        <is>
          <t>83%</t>
        </is>
      </c>
      <c r="C12" t="inlineStr"/>
      <c r="D12" s="90" t="inlineStr">
        <is>
          <t>accelerator = $200k of $240k</t>
        </is>
      </c>
    </row>
    <row r="13" ht="18" customHeight="1">
      <c r="A13" t="inlineStr">
        <is>
          <t>8x A100 server (J.P. Morgan)</t>
        </is>
      </c>
      <c r="B13" t="inlineStr">
        <is>
          <t>71%</t>
        </is>
      </c>
      <c r="C13" t="inlineStr"/>
      <c r="D13" s="90" t="inlineStr">
        <is>
          <t>GB200 rack ~76-80% (SemiAnalysis)</t>
        </is>
      </c>
    </row>
    <row r="14"/>
    <row r="15" ht="18" customHeight="1">
      <c r="A15" s="94" t="inlineStr">
        <is>
          <t>Own-silicon vs NVIDIA (TCO)</t>
        </is>
      </c>
      <c r="B15" t="inlineStr"/>
      <c r="C15" t="inlineStr"/>
      <c r="D15" s="90" t="inlineStr">
        <is>
          <t>cheaper, but valued at cost in model</t>
        </is>
      </c>
    </row>
    <row r="16" ht="18" customHeight="1">
      <c r="A16" t="inlineStr">
        <is>
          <t>Google TPU v7 vs GB200/GB300</t>
        </is>
      </c>
      <c r="B16" t="inlineStr">
        <is>
          <t>20-50% lower</t>
        </is>
      </c>
      <c r="C16" t="inlineStr"/>
      <c r="D16" s="90" t="inlineStr">
        <is>
          <t>per useful FLOP (SemiAnalysis)</t>
        </is>
      </c>
    </row>
    <row r="17" ht="18" customHeight="1">
      <c r="A17" t="inlineStr">
        <is>
          <t>Amazon Trainium3 vs GB300</t>
        </is>
      </c>
      <c r="B17" t="inlineStr">
        <is>
          <t>~30% better</t>
        </is>
      </c>
      <c r="C17" t="inlineStr"/>
      <c r="D17" s="90" t="inlineStr">
        <is>
          <t>chips ~1/3 cheaper to build</t>
        </is>
      </c>
    </row>
    <row r="18"/>
    <row r="19" ht="18" customHeight="1">
      <c r="A19" s="94" t="inlineStr">
        <is>
          <t>Filing data (FY2025 actuals)</t>
        </is>
      </c>
      <c r="B19" t="inlineStr">
        <is>
          <t>total capex</t>
        </is>
      </c>
      <c r="C19" t="inlineStr">
        <is>
          <t>server life</t>
        </is>
      </c>
      <c r="D19" s="90" t="inlineStr">
        <is>
          <t>DISCLOSED top-lines</t>
        </is>
      </c>
    </row>
    <row r="20" ht="18" customHeight="1">
      <c r="A20" t="inlineStr">
        <is>
          <t>Microsoft (Jun'25, incl leases)</t>
        </is>
      </c>
      <c r="B20" t="inlineStr">
        <is>
          <t>~$88B</t>
        </is>
      </c>
      <c r="C20" t="inlineStr">
        <is>
          <t>2-6 yr</t>
        </is>
      </c>
      <c r="D20" s="90" t="inlineStr">
        <is>
          <t>'roughly half' short-lived (CFO)</t>
        </is>
      </c>
    </row>
    <row r="21" ht="18" customHeight="1">
      <c r="A21" t="inlineStr">
        <is>
          <t>Alphabet</t>
        </is>
      </c>
      <c r="B21" t="inlineStr">
        <is>
          <t>$91.4B</t>
        </is>
      </c>
      <c r="C21" t="inlineStr">
        <is>
          <t>6 yr</t>
        </is>
      </c>
      <c r="D21" s="90" t="inlineStr">
        <is>
          <t>60% servers / 40% DC (CFO)</t>
        </is>
      </c>
    </row>
    <row r="22" ht="18" customHeight="1">
      <c r="A22" t="inlineStr">
        <is>
          <t>Amazon (cash capex)</t>
        </is>
      </c>
      <c r="B22" t="inlineStr">
        <is>
          <t>$128.3B</t>
        </is>
      </c>
      <c r="C22" t="inlineStr">
        <is>
          <t>5 yr (cut)</t>
        </is>
      </c>
      <c r="D22" s="90" t="inlineStr">
        <is>
          <t>AWS 67.8% of net P&amp;E additions</t>
        </is>
      </c>
    </row>
    <row r="23" ht="18" customHeight="1">
      <c r="A23" t="inlineStr">
        <is>
          <t>Meta (incl finance leases)</t>
        </is>
      </c>
      <c r="B23" t="inlineStr">
        <is>
          <t>$72.2B</t>
        </is>
      </c>
      <c r="C23" t="inlineStr">
        <is>
          <t>5.5 yr</t>
        </is>
      </c>
      <c r="D23" s="90" t="inlineStr">
        <is>
          <t>servers 'largest portion' (CFO)</t>
        </is>
      </c>
    </row>
    <row r="24" ht="48" customHeight="1">
      <c r="A24" t="inlineStr">
        <is>
          <t>FY26 capex guidance</t>
        </is>
      </c>
      <c r="B24" t="inlineStr"/>
      <c r="C24" t="inlineStr"/>
      <c r="D24" s="90" t="inlineStr">
        <is>
          <t>MSFT ~$190B, Alphabet $180-190B, Amazon ~$200B, Meta $125-145B, Oracle ~$50B; SpaceX ~$18B (est)</t>
        </is>
      </c>
    </row>
    <row r="25"/>
    <row r="26" ht="33" customHeight="1">
      <c r="A26" s="52" t="inlineStr">
        <is>
          <t>Cost-weighted reduction vs memory share</t>
        </is>
      </c>
      <c r="B26" t="inlineStr">
        <is>
          <t>reduction (x)</t>
        </is>
      </c>
      <c r="C26" t="inlineStr"/>
      <c r="D26" s="90" t="inlineStr">
        <is>
          <t>live: =1/(w/memfac+(1-w)/flopfac)</t>
        </is>
      </c>
    </row>
    <row r="27">
      <c r="A27" t="inlineStr">
        <is>
          <t>memory share = 45%</t>
        </is>
      </c>
      <c r="B27" s="124" t="n">
        <v>0.45</v>
      </c>
      <c r="C27" s="102">
        <f>1/(B27/Inputs!$B$2+(1-B27)/Inputs!$B$3)</f>
        <v/>
      </c>
      <c r="D27" t="inlineStr">
        <is>
          <t>floored by the smaller lever (the inference compute lever at the 2026-10-01 defaults)</t>
        </is>
      </c>
    </row>
    <row r="28">
      <c r="A28" t="inlineStr">
        <is>
          <t>memory share = 50%</t>
        </is>
      </c>
      <c r="B28" s="124" t="n">
        <v>0.5</v>
      </c>
      <c r="C28" s="102">
        <f>1/(B28/Inputs!$B$2+(1-B28)/Inputs!$B$3)</f>
        <v/>
      </c>
      <c r="D28" t="inlineStr">
        <is>
          <t>floored by the smaller lever (the inference compute lever at the 2026-10-01 defaults)</t>
        </is>
      </c>
    </row>
    <row r="29">
      <c r="A29" t="inlineStr">
        <is>
          <t>memory share = 60%</t>
        </is>
      </c>
      <c r="B29" s="124" t="n">
        <v>0.6</v>
      </c>
      <c r="C29" s="102">
        <f>1/(B29/Inputs!$B$2+(1-B29)/Inputs!$B$3)</f>
        <v/>
      </c>
      <c r="D29" t="inlineStr">
        <is>
          <t>floored by the smaller lever (the inference compute lever at the 2026-10-01 defaults)</t>
        </is>
      </c>
    </row>
    <row r="30">
      <c r="A30" t="inlineStr">
        <is>
          <t>memory share = 70%</t>
        </is>
      </c>
      <c r="B30" s="124" t="n">
        <v>0.7</v>
      </c>
      <c r="C30" s="102">
        <f>1/(B30/Inputs!$B$2+(1-B30)/Inputs!$B$3)</f>
        <v/>
      </c>
      <c r="D30" t="inlineStr">
        <is>
          <t>floored by the smaller lever (the inference compute lever at the 2026-10-01 defaults)</t>
        </is>
      </c>
    </row>
    <row r="31">
      <c r="A31" t="inlineStr">
        <is>
          <t>memory share = 82%</t>
        </is>
      </c>
      <c r="B31" s="124" t="n">
        <v>0.82</v>
      </c>
      <c r="C31" s="102">
        <f>1/(B31/Inputs!$B$2+(1-B31)/Inputs!$B$3)</f>
        <v/>
      </c>
      <c r="D31" t="inlineStr">
        <is>
          <t>floored by the smaller lever (the inference compute lever at the 2026-10-01 defaults)</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5"/>
  <sheetViews>
    <sheetView workbookViewId="0">
      <selection activeCell="A1" sqref="A1"/>
    </sheetView>
  </sheetViews>
  <sheetFormatPr baseColWidth="8" defaultRowHeight="15"/>
  <cols>
    <col width="120" customWidth="1" min="1" max="1"/>
  </cols>
  <sheetData>
    <row r="1" ht="18" customHeight="1">
      <c r="A1" s="52" t="inlineStr">
        <is>
          <t>METHODOLOGY &amp; SOURCES</t>
        </is>
      </c>
    </row>
    <row r="2" ht="18" customHeight="1">
      <c r="A2" s="90" t="inlineStr"/>
    </row>
    <row r="3" ht="138" customHeight="1">
      <c r="A3" s="90" t="inlineStr">
        <is>
          <t>Engine: GPU cost ~60% memory / ~40% compute. Memory x2,032 (lever H4, MEASURED at 262k on our test model) + the inference compute lever x768 (tokens per GPU at EQUAL size x182 — levers H5 x H6 = 256 conversations per GPU x 0.74x per-step decode, MEASURED per layer on the 2026-10-01 decode receipt at a ~90-layer frontier geometry with grouped-query attention (4 KB of cache per token per layer), with prompt processing added back at the active scenario's prefill speed — x the x4.22 equal-quality SIZE FACTOR, H1: a smaller equal-quality model costs proportionally less per token, in inference as in training, 2026-10-01) -&gt; ~x1,225 cost-weighted (Inputs B20). The front tabs price inference on whole GPUs instead (the fleet shrinks by the smaller lever, x768) and training on GPU-hours (H1 x H2 x H3 = ~x40; H3 = x2.22 MEASURED over a modern curriculum, x3.97 fused-kernel TARGET), and let the servers around the chips and the datacenters FOLLOW the fleet (Levers C6 / C34).</t>
        </is>
      </c>
    </row>
    <row r="4" ht="63" customHeight="1">
      <c r="A4" s="90" t="inlineStr">
        <is>
          <t xml:space="preserve">  Floored by the least-reduced part — at these levers that is COMPUTE (the inference lever x768); memory is x2,032. With memory at the frontier-geometry ~x208 it would be memory again. The Today/Ceiling pair (retired 2026-09-29), the pre-campaign family (x9.24 -&gt; ~20x) and the 2.5 ms-per-token x 64-stream aggregate-decode estimate (superseded 2026-10-01) are no longer used.</t>
        </is>
      </c>
    </row>
    <row r="5" ht="153" customHeight="1">
      <c r="A5" s="90" t="inlineStr">
        <is>
          <t xml:space="preserve">  Decode receipt (2026-10-01): one layer, bf16, graph-captured one-token step on a 94.5 GB card; the transformer at the largest measured batch whose full-model cache fits at that context, us at 256 streams (1 MB of state per layer each); both per-layer steps measured including their feed-forward blocks — ours as written and uncompiled, so the ratio is a floor. The per-layer step ratio is depth-invariant but the transformer's cache capacity and cache-read-bound step time are not, so the levers are quoted at a ~90-layer frontier geometry with grouped-query attention (4 KB of cache per token per layer) (anchored on Kimi K3 93 layers (2.8T/104B MoE) and GLM-5 78 layers (744B) -&gt; ~90 at 1T dense-equivalent) rather than the receipt's 24-layer comparator: H5 x H6 = x4.0 at 4k, x24 at 32k, x114 at 128k, x189 at 262k (comparator: x364). Per decode step the transformer's single long-context stream is still faster than our 256-stream step (x0.74, i.e. our step is 1.35x longer); the gain is H5 — 256 conversations advance per step instead of 1.</t>
        </is>
      </c>
    </row>
    <row r="6" ht="63" customHeight="1">
      <c r="A6" s="90" t="inlineStr">
        <is>
          <t xml:space="preserve">  WHAT IS COUNTED: 'AI spend' = property &amp; equipment additions (AI chips, the servers around them, data-centre buildings, power &amp; cooling, network) plus electricity. No labor anywhere. Servers and datacenters sized by the GPUs follow the blended fleet cut by default (2026-10-01: they scale down when no longer necessary); holding the datacenters (leases contracted to FY33) is the sensitivity (Levers C6 = 0).</t>
        </is>
      </c>
    </row>
    <row r="7" ht="18" customHeight="1">
      <c r="A7" s="90" t="inlineStr"/>
    </row>
    <row r="8" ht="33" customHeight="1">
      <c r="A8" s="90" t="inlineStr">
        <is>
          <t>Per company (own tab): total capex (DISCLOSED) x infra share x server share x accelerator share = accelerator capex; then fleet -&gt; opex -&gt; efficient -&gt; value. FY25 + FY26.</t>
        </is>
      </c>
    </row>
    <row r="9" ht="33" customHeight="1">
      <c r="A9" s="90" t="inlineStr">
        <is>
          <t xml:space="preserve">  infra (data-center) share from 10-K/10-Q P&amp;E and segment notes (MSFT 97%, Alphabet 93-95%, Meta 95-98%, Amazon AWS 68-76%); server share CFO-disclosed (MSFT ~50%, Google 60%); accel-within-server ~67-80% from BOM.</t>
        </is>
      </c>
    </row>
    <row r="10" ht="33" customHeight="1">
      <c r="A10" s="90" t="inlineStr">
        <is>
          <t xml:space="preserve">  Accel % of total varies: Amazon ~30% (legacy fleet + non-AI), MSFT ~37%, Google ~40%, Meta ~48%, SpaceX ~79% (greenfield).</t>
        </is>
      </c>
    </row>
    <row r="11" ht="33" customHeight="1">
      <c r="A11" s="90" t="inlineStr">
        <is>
          <t>Totals (front page): rolls up the company tabs live; no double-count (they don't pay each other for the bulk). GLOBAL row grosses the named total up to a worldwide estimate (Inputs 'Named share of global AI capex').</t>
        </is>
      </c>
    </row>
    <row r="12" ht="33" customHeight="1">
      <c r="A12" s="90" t="inlineStr">
        <is>
          <t>Value: spend cut/yr = accel x (1 - 1/reduction) ~95% + opex savings; capitalized = annual / discount rate. Compute valued at ACTUAL cost.</t>
        </is>
      </c>
    </row>
    <row r="13" ht="33" customHeight="1">
      <c r="A13" s="90" t="inlineStr">
        <is>
          <t>Energy/opex reduction: DERIVED = cost-weighted reduction (energy splits memory/compute like cost). Inputs B5 defaults to =B20; overtype that cell to override.</t>
        </is>
      </c>
    </row>
    <row r="14" ht="48" customHeight="1">
      <c r="A14" s="90"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5" ht="33" customHeight="1">
      <c r="A15" s="90" t="inlineStr">
        <is>
          <t>Net AI economics (Totals + company tabs): Net AI = AI revenue - AI capex (full AI-infra) - AI opex (cash basis). With our arch: Net AI + spend cut.</t>
        </is>
      </c>
    </row>
    <row r="16" ht="48" customHeight="1">
      <c r="A16" s="90" t="inlineStr">
        <is>
          <t xml:space="preserve">  Shows they all LOSE money on AI today. LEGACY TOGGLE 'Datacenter scaling factor' (Inputs B13, technical tabs only): 0 = accelerator-only; 1 = whole datacenter scales. The front tabs use the Levers C6 / C34 follow switches instead (default: servers and datacenters follow the fleet).</t>
        </is>
      </c>
    </row>
    <row r="17" ht="18" customHeight="1">
      <c r="A17" s="90" t="inlineStr"/>
    </row>
    <row r="18" ht="18" customHeight="1">
      <c r="A18" s="52" t="inlineStr">
        <is>
          <t>KEY RESULTS (defaults)</t>
        </is>
      </c>
    </row>
    <row r="19" ht="18" customHeight="1">
      <c r="A19" s="90" t="inlineStr">
        <is>
          <t>- Cost-weighted reduction ~x1,225 — compute-floored (inference lever x768; memory x2,032).</t>
        </is>
      </c>
    </row>
    <row r="20" ht="48" customHeight="1">
      <c r="A20" s="90" t="inlineStr">
        <is>
          <t>- HEADLINE (FY2026, the base year; value bridge with servers + datacenters following the fleet): ~$774B/yr (99% of AI spend; net AI turns ~$128B positive). Sensitivities: datacenters HELD (leases to FY33) ~$516B; fused-kernel targets ~$777B. Last year (FY2025): ~$360B. The chip cut saturates: ~99.9% of the chip bill.</t>
        </is>
      </c>
    </row>
    <row r="21" ht="48" customHeight="1">
      <c r="A21" s="90" t="inlineStr">
        <is>
          <t>- Technical ledger (accelerators + power only, Amdahl-weighted, legacy): FY2026 spend cut ~$385B/yr (~$6.4T capitalized at 6%); FY2025 ~$163B (~$2.7T) -&gt; last year's burn ~ -$284B/yr (~$363B capex+opex vs ~$79B AI revenue) shrinks to ~ -$121B/yr.</t>
        </is>
      </c>
    </row>
    <row r="22" ht="33" customHeight="1">
      <c r="A22" s="90" t="inlineStr">
        <is>
          <t>- GLOBAL estimate (named ~80% of world AI capex, technical ledger): FY2026 ~$8.0T, FY2025 ~$3.4T capitalized. Clearly an estimate.</t>
        </is>
      </c>
    </row>
    <row r="23" ht="18" customHeight="1">
      <c r="A23" s="90" t="inlineStr"/>
    </row>
    <row r="24" ht="18" customHeight="1">
      <c r="A24" s="52" t="inlineStr">
        <is>
          <t>CAVEATS</t>
        </is>
      </c>
    </row>
    <row r="25" ht="48" customHeight="1">
      <c r="A25" s="90" t="inlineStr">
        <is>
          <t>- AI REVENUE is the softest input: MSFT $37B &amp; Amazon $15B run-rates are DISCLOSED; Google/Meta/Oracle/SpaceX are ESTIMATES. Meta's real AI payoff is indirect ad-uplift (~$20B), not direct revenue -- so its 'loss' here overstates.</t>
        </is>
      </c>
    </row>
    <row r="26" ht="33" customHeight="1">
      <c r="A26" s="90" t="inlineStr">
        <is>
          <t>- Net AI is CASH basis (capex not depreciated). On an accounting (depreciation) basis the loss is smaller; on a depreciation basis it is closer to a true P&amp;L.</t>
        </is>
      </c>
    </row>
    <row r="27" ht="33" customHeight="1">
      <c r="A27" s="90" t="inlineStr">
        <is>
          <t>- No company reports 'accelerator capex'. Totals DISCLOSED; server/accel split ESTIMATED (server CFO-disclosed; accel-within from BOM). +/-15-20%.</t>
        </is>
      </c>
    </row>
    <row r="28" ht="18" customHeight="1">
      <c r="A28" s="90" t="inlineStr">
        <is>
          <t>- FY26 is a full live chain (FY26 total-capex guidance x FY26 shares). SpaceX FY26 ~$18B is an estimate.</t>
        </is>
      </c>
    </row>
    <row r="29" ht="18" customHeight="1">
      <c r="A29" s="90" t="inlineStr">
        <is>
          <t>- Hyperscaler market caps (company tab row 7) are approximate placeholders -- edit to current.</t>
        </is>
      </c>
    </row>
    <row r="30" ht="33" customHeight="1">
      <c r="A30" s="90" t="inlineStr">
        <is>
          <t>- Own-silicon (TPU/Trainium/MTIA) is cheaper per FLOP, but compute is valued at ACTUAL cost; CostLadder shows the buy/rent premium.</t>
        </is>
      </c>
    </row>
    <row r="31" ht="48" customHeight="1">
      <c r="A31" s="90" t="inlineStr">
        <is>
          <t>- Multiplying the levers (memory x2,032 * the inference lever x768) is NOT physical: a GPU is bought whole, so the fleet shrinks by the smaller of the two. The inference lever is itself tokens per GPU at equal size x the size factor — that product IS physical (fewer, cheaper tokens per GPU).</t>
        </is>
      </c>
    </row>
    <row r="32" ht="18" customHeight="1">
      <c r="A32" s="90" t="inlineStr">
        <is>
          <t>- JEVONS: savings reinvested into more AI, not budget cuts. Capitalization is a simple perpetuity.</t>
        </is>
      </c>
    </row>
    <row r="33" ht="18" customHeight="1">
      <c r="A33" s="90" t="inlineStr"/>
    </row>
    <row r="34" ht="18" customHeight="1">
      <c r="A34" s="52" t="inlineStr">
        <is>
          <t>SOURCES</t>
        </is>
      </c>
    </row>
    <row r="35" ht="18" customHeight="1">
      <c r="A35" s="90" t="inlineStr">
        <is>
          <t>SpaceX S-1 / IPO: https://www.hl.co.uk/news/inside-spacexs-ipo-filing-revenue-starlink-ai-and-key-financials</t>
        </is>
      </c>
    </row>
    <row r="36" ht="33" customHeight="1">
      <c r="A36" s="90" t="inlineStr">
        <is>
          <t>Microsoft FY25 capex (Q3 FY26 call): https://www.fool.com/earnings/call-transcripts/2026/04/29/microsoft-msft-q3-2026-earnings-transcript/</t>
        </is>
      </c>
    </row>
    <row r="37" ht="33" customHeight="1">
      <c r="A37" s="90" t="inlineStr">
        <is>
          <t>Alphabet FY25 $91.4B, 60/40 split (Q4'25 call): https://www.fool.com/earnings/call-transcripts/2026/02/04/alphabet-googl-q4-2025-earnings-call-transcript/</t>
        </is>
      </c>
    </row>
    <row r="38" ht="33" customHeight="1">
      <c r="A38" s="90" t="inlineStr">
        <is>
          <t>Amazon FY25 $128.3B + server life 6-&gt;5yr (10-K): https://www.sec.gov/Archives/edgar/data/1018724/000101872426000004/amzn-20251231.htm</t>
        </is>
      </c>
    </row>
    <row r="39" ht="33" customHeight="1">
      <c r="A39" s="90" t="inlineStr">
        <is>
          <t>Meta FY25 $72.2B (Q4/FY25 release): https://investor.atmeta.com/investor-news/press-release-details/2026/Meta-Reports-Fourth-Quarter-and-Full-Year-2025-Results/default.aspx</t>
        </is>
      </c>
    </row>
    <row r="40" ht="33" customHeight="1">
      <c r="A40" s="90" t="inlineStr">
        <is>
          <t>H100/B200 BOM + margin (Silicon Analysts): https://siliconanalysts.com/analysis/nvidia-b200-blackwell-cost-breakdown</t>
        </is>
      </c>
    </row>
    <row r="41" ht="18" customHeight="1">
      <c r="A41" s="90" t="inlineStr">
        <is>
          <t>TPU/Trainium TCO (SemiAnalysis): https://newsletter.semianalysis.com/p/tpuv7-google-takes-a-swing-at-the</t>
        </is>
      </c>
    </row>
    <row r="42" ht="18" customHeight="1">
      <c r="A42" s="90" t="inlineStr">
        <is>
          <t>GPU rental prices 2026 (Spheron): https://www.spheron.network/blog/gpu-cloud-pricing-comparison-2026/</t>
        </is>
      </c>
    </row>
    <row r="43" ht="33" customHeight="1">
      <c r="A43" s="90" t="inlineStr">
        <is>
          <t>Microsoft $37B AI run-rate (Q3 FY26): https://news.alphastreet.com/microsoft-msft-q3-fy2026-azure-hits-40-growth-as-ai-business-reaches-37-billion-run-rate/</t>
        </is>
      </c>
    </row>
    <row r="44" ht="33" customHeight="1">
      <c r="A44" s="90" t="inlineStr">
        <is>
          <t>Amazon &gt;$15B AWS AI run-rate (Q1 FY26): https://www.bnnbloomberg.ca/business/artificial-intelligence/2026/04/09/amazon-cloud-units-ai-revenue-run-rate-exceeds-us15-billion-in-first-quarter-ceo-says/</t>
        </is>
      </c>
    </row>
    <row r="45" ht="33" customHeight="1">
      <c r="A45" s="90"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2026-10-01T15:54:54Z</dcterms:created>
  <dcterms:modified xmlns:dcterms="http://purl.org/dc/terms/" xmlns:xsi="http://www.w3.org/2001/XMLSchema-instance" xsi:type="dcterms:W3CDTF">2026-10-01T15:54:54Z</dcterms:modified>
</cp:coreProperties>
</file>