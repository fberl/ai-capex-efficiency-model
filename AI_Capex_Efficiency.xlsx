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Value Bridge" sheetId="2" state="visible" r:id="rId2"/>
    <sheet name="Levers" sheetId="3" state="visible" r:id="rId3"/>
    <sheet name="What Matters" sheetId="4" state="visible" r:id="rId4"/>
    <sheet name="Microsoft" sheetId="5" state="visible" r:id="rId5"/>
    <sheet name="Alphabet" sheetId="6" state="visible" r:id="rId6"/>
    <sheet name="Amazon" sheetId="7" state="visible" r:id="rId7"/>
    <sheet name="Meta" sheetId="8" state="visible" r:id="rId8"/>
    <sheet name="Oracle" sheetId="9" state="visible" r:id="rId9"/>
    <sheet name="SpaceX" sheetId="10" state="visible" r:id="rId10"/>
    <sheet name="Totals" sheetId="11" state="visible" r:id="rId11"/>
    <sheet name="Inputs" sheetId="12" state="visible" r:id="rId12"/>
    <sheet name="Sensitivity" sheetId="13" state="visible" r:id="rId13"/>
    <sheet name="CostLadder" sheetId="14" state="visible" r:id="rId14"/>
    <sheet name="ServingTraining" sheetId="15" state="visible" r:id="rId15"/>
    <sheet name="Evidence" sheetId="16" state="visible" r:id="rId16"/>
    <sheet name="Methodology" sheetId="17" state="visible" r:id="rId17"/>
  </sheets>
  <definedNames>
    <definedName name="Scenario">Levers!$C$4</definedName>
    <definedName name="SmallerModel">Levers!$C$9</definedName>
    <definedName name="FewerTokens">Levers!$C$10</definedName>
    <definedName name="TrainSpeed">Levers!$C$11</definedName>
    <definedName name="MemoryLever">Levers!$C$12</definedName>
    <definedName name="MoreConversations">Levers!$C$13</definedName>
    <definedName name="FasterDecode">Levers!$C$14</definedName>
    <definedName name="PromptSpeed">Levers!$C$15</definedName>
    <definedName name="TrainLever">Levers!$C$18</definedName>
    <definedName name="DecodeLever">Levers!$C$20</definedName>
    <definedName name="ServeComputeLever">Levers!$C$21</definedName>
    <definedName name="ServeGPULever">Levers!$C$22</definedName>
  </definedNames>
  <calcPr calcId="124519" fullCalcOnLoad="1"/>
</workbook>
</file>

<file path=xl/styles.xml><?xml version="1.0" encoding="utf-8"?>
<styleSheet xmlns="http://schemas.openxmlformats.org/spreadsheetml/2006/main">
  <numFmts count="23">
    <numFmt numFmtId="164" formatCode="0.0"/>
    <numFmt numFmtId="165" formatCode="0.0%"/>
    <numFmt numFmtId="166" formatCode="0.000000"/>
    <numFmt numFmtId="167" formatCode="#,##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quot;×&quot;0.00"/>
    <numFmt numFmtId="177" formatCode="&quot;÷&quot;#,##0"/>
    <numFmt numFmtId="178" formatCode="&quot;×&quot;#,##0"/>
    <numFmt numFmtId="179" formatCode="&quot;×&quot;0.0"/>
    <numFmt numFmtId="180" formatCode="&quot;$&quot;#,##0&quot;B&quot;;-&quot;$&quot;#,##0&quot;B&quot;"/>
    <numFmt numFmtId="181" formatCode="&quot;$&quot;#,##0"/>
    <numFmt numFmtId="182" formatCode="&quot;$&quot;0.00"/>
    <numFmt numFmtId="183" formatCode="+&quot;$&quot;#,##0.0&quot;B&quot;;-&quot;$&quot;#,##0.0&quot;B&quot;;&quot;$0&quot;"/>
    <numFmt numFmtId="184" formatCode="&quot;$&quot;#,##0.0&quot;B&quot;;-&quot;$&quot;#,##0.0&quot;B&quot;"/>
    <numFmt numFmtId="185" formatCode="&quot;$&quot;#,##0.0&quot;T&quot;;-&quot;$&quot;#,##0.0&quot;T&quot;"/>
    <numFmt numFmtId="186" formatCode="+&quot;$&quot;#,##0&quot;B&quot;;-&quot;$&quot;#,##0&quot;B&quot;;&quot;—&quot;"/>
  </numFmts>
  <fonts count="9">
    <font>
      <name val="Calibri"/>
      <family val="2"/>
      <color theme="1"/>
      <sz val="11"/>
      <scheme val="minor"/>
    </font>
    <font>
      <b val="1"/>
      <color rgb="00FFFFFF"/>
    </font>
    <font>
      <b val="1"/>
      <color rgb="000B5E48"/>
    </font>
    <font>
      <b val="1"/>
    </font>
    <font>
      <b val="1"/>
      <color rgb="00FFFFFF"/>
      <sz val="16"/>
    </font>
    <font>
      <color rgb="000563C1"/>
      <u val="single"/>
    </font>
    <font>
      <color rgb="00595959"/>
      <sz val="10"/>
    </font>
    <font>
      <i val="1"/>
      <color rgb="007F7F7F"/>
    </font>
    <font>
      <b val="1"/>
      <sz val="13"/>
    </font>
  </fonts>
  <fills count="12">
    <fill>
      <patternFill/>
    </fill>
    <fill>
      <patternFill patternType="gray125"/>
    </fill>
    <fill>
      <patternFill patternType="solid">
        <fgColor rgb="001F4E78"/>
      </patternFill>
    </fill>
    <fill>
      <patternFill patternType="solid">
        <fgColor rgb="00A8E6D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4DFEC"/>
      </patternFill>
    </fill>
    <fill>
      <patternFill patternType="solid">
        <fgColor rgb="000B2545"/>
      </patternFill>
    </fill>
    <fill>
      <patternFill patternType="solid">
        <fgColor rgb="00BDD7EE"/>
      </patternFill>
    </fill>
    <fill>
      <patternFill patternType="solid">
        <fgColor rgb="00EDEDED"/>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
      <left/>
      <right/>
      <top style="thin">
        <color rgb="00BBBBBB"/>
      </top>
      <bottom style="thin">
        <color rgb="00BBBBBB"/>
      </bottom>
      <diagonal/>
    </border>
  </borders>
  <cellStyleXfs count="1">
    <xf numFmtId="0" fontId="0" fillId="0" borderId="0"/>
  </cellStyleXfs>
  <cellXfs count="145">
    <xf numFmtId="0" fontId="0" fillId="0" borderId="0" pivotButton="0" quotePrefix="0" xfId="0"/>
    <xf numFmtId="0" fontId="4" fillId="8" borderId="0" applyAlignment="1" pivotButton="0" quotePrefix="0" xfId="0">
      <alignment vertical="center"/>
    </xf>
    <xf numFmtId="0" fontId="0" fillId="8" borderId="0" applyAlignment="1" pivotButton="0" quotePrefix="0" xfId="0">
      <alignment vertical="center"/>
    </xf>
    <xf numFmtId="0" fontId="0" fillId="0" borderId="0" applyAlignment="1" pivotButton="0" quotePrefix="0" xfId="0">
      <alignment vertical="center" wrapText="1"/>
    </xf>
    <xf numFmtId="0" fontId="7" fillId="0" borderId="0" applyAlignment="1" pivotButton="0" quotePrefix="0" xfId="0">
      <alignment vertical="center"/>
    </xf>
    <xf numFmtId="0" fontId="1" fillId="2" borderId="0" applyAlignment="1" pivotButton="0" quotePrefix="0" xfId="0">
      <alignment vertical="center"/>
    </xf>
    <xf numFmtId="0" fontId="0" fillId="2" borderId="0" applyAlignment="1" pivotButton="0" quotePrefix="0" xfId="0">
      <alignment vertical="center"/>
    </xf>
    <xf numFmtId="0" fontId="3" fillId="9" borderId="1" applyAlignment="1" pivotButton="0" quotePrefix="0" xfId="0">
      <alignment vertical="center" wrapText="1"/>
    </xf>
    <xf numFmtId="0" fontId="3" fillId="9" borderId="1" applyAlignment="1" pivotButton="0" quotePrefix="0" xfId="0">
      <alignment horizontal="center" vertical="center" wrapText="1"/>
    </xf>
    <xf numFmtId="0" fontId="0" fillId="0" borderId="1" applyAlignment="1" pivotButton="0" quotePrefix="0" xfId="0">
      <alignment vertical="center"/>
    </xf>
    <xf numFmtId="180" fontId="0" fillId="4" borderId="1" applyAlignment="1" pivotButton="0" quotePrefix="0" xfId="0">
      <alignment vertical="center"/>
    </xf>
    <xf numFmtId="0" fontId="3" fillId="0" borderId="1" applyAlignment="1" pivotButton="0" quotePrefix="0" xfId="0">
      <alignment vertical="center"/>
    </xf>
    <xf numFmtId="180" fontId="8" fillId="11" borderId="1" applyAlignment="1" pivotButton="0" quotePrefix="0" xfId="0">
      <alignment vertical="center"/>
    </xf>
    <xf numFmtId="9" fontId="8" fillId="11" borderId="1" applyAlignment="1" pivotButton="0" quotePrefix="0" xfId="0">
      <alignment vertical="center"/>
    </xf>
    <xf numFmtId="0" fontId="0" fillId="0" borderId="1" applyAlignment="1" pivotButton="0" quotePrefix="0" xfId="0">
      <alignment vertical="center" wrapText="1"/>
    </xf>
    <xf numFmtId="185" fontId="0" fillId="4" borderId="1" applyAlignment="1" pivotButton="0" quotePrefix="0" xfId="0">
      <alignment vertical="center"/>
    </xf>
    <xf numFmtId="0" fontId="0" fillId="0" borderId="6" pivotButton="0" quotePrefix="0" xfId="0"/>
    <xf numFmtId="0" fontId="0" fillId="0" borderId="5" pivotButton="0" quotePrefix="0" xfId="0"/>
    <xf numFmtId="180" fontId="3" fillId="11" borderId="1" applyAlignment="1" pivotButton="0" quotePrefix="0" xfId="0">
      <alignment vertical="center"/>
    </xf>
    <xf numFmtId="9" fontId="0" fillId="4" borderId="1" applyAlignment="1" pivotButton="0" quotePrefix="0" xfId="0">
      <alignment vertical="center"/>
    </xf>
    <xf numFmtId="179" fontId="3" fillId="4" borderId="1" applyAlignment="1" pivotButton="0" quotePrefix="0" xfId="0">
      <alignment vertical="center"/>
    </xf>
    <xf numFmtId="0" fontId="6" fillId="0" borderId="0" applyAlignment="1" pivotButton="0" quotePrefix="0" xfId="0">
      <alignment vertical="center" wrapText="1"/>
    </xf>
    <xf numFmtId="0" fontId="2" fillId="3" borderId="1" applyAlignment="1" pivotButton="0" quotePrefix="0" xfId="0">
      <alignment vertical="center" wrapText="1"/>
    </xf>
    <xf numFmtId="0" fontId="0" fillId="0" borderId="1" pivotButton="0" quotePrefix="0" xfId="0"/>
    <xf numFmtId="176" fontId="0" fillId="4" borderId="2" applyAlignment="1" pivotButton="0" quotePrefix="0" xfId="0">
      <alignment vertical="center"/>
    </xf>
    <xf numFmtId="176" fontId="0" fillId="4" borderId="1" applyAlignment="1" pivotButton="0" quotePrefix="0" xfId="0">
      <alignment vertical="center"/>
    </xf>
    <xf numFmtId="176" fontId="0" fillId="7" borderId="1" applyAlignment="1" pivotButton="0" quotePrefix="0" xfId="0">
      <alignment vertical="center"/>
    </xf>
    <xf numFmtId="178" fontId="3" fillId="4" borderId="1" applyAlignment="1" pivotButton="0" quotePrefix="0" xfId="0">
      <alignment vertical="center"/>
    </xf>
    <xf numFmtId="177" fontId="0" fillId="4" borderId="1" applyAlignment="1" pivotButton="0" quotePrefix="0" xfId="0">
      <alignment vertical="center"/>
    </xf>
    <xf numFmtId="178" fontId="0" fillId="4" borderId="1" applyAlignment="1" pivotButton="0" quotePrefix="0" xfId="0">
      <alignment vertical="center"/>
    </xf>
    <xf numFmtId="179" fontId="0" fillId="4" borderId="1" applyAlignment="1" pivotButton="0" quotePrefix="0" xfId="0">
      <alignment vertical="center"/>
    </xf>
    <xf numFmtId="0" fontId="3" fillId="9" borderId="1" applyAlignment="1" pivotButton="0" quotePrefix="0" xfId="0">
      <alignment vertical="center"/>
    </xf>
    <xf numFmtId="180" fontId="3" fillId="9" borderId="1" applyAlignment="1" pivotButton="0" quotePrefix="0" xfId="0">
      <alignment vertical="center"/>
    </xf>
    <xf numFmtId="9" fontId="3" fillId="9" borderId="1" applyAlignment="1" pivotButton="0" quotePrefix="0" xfId="0">
      <alignment vertical="center"/>
    </xf>
    <xf numFmtId="0" fontId="0" fillId="9" borderId="1" applyAlignment="1" pivotButton="0" quotePrefix="0" xfId="0">
      <alignment vertical="center"/>
    </xf>
    <xf numFmtId="180" fontId="3" fillId="4" borderId="1" applyAlignment="1" pivotButton="0" quotePrefix="0" xfId="0">
      <alignment vertical="center"/>
    </xf>
    <xf numFmtId="0" fontId="3" fillId="5" borderId="1" applyAlignment="1" pivotButton="0" quotePrefix="0" xfId="0">
      <alignment vertical="center"/>
    </xf>
    <xf numFmtId="0" fontId="3" fillId="6" borderId="1" applyAlignment="1" pivotButton="0" quotePrefix="0" xfId="0">
      <alignment vertical="center"/>
    </xf>
    <xf numFmtId="0" fontId="3" fillId="4" borderId="1" applyAlignment="1" pivotButton="0" quotePrefix="0" xfId="0">
      <alignment vertical="center"/>
    </xf>
    <xf numFmtId="0" fontId="3" fillId="7" borderId="1" applyAlignment="1" pivotButton="0" quotePrefix="0" xfId="0">
      <alignment vertical="center"/>
    </xf>
    <xf numFmtId="0" fontId="3" fillId="0" borderId="2" applyAlignment="1" pivotButton="0" quotePrefix="0" xfId="0">
      <alignment vertical="center"/>
    </xf>
    <xf numFmtId="0" fontId="3" fillId="0" borderId="0" applyAlignment="1" pivotButton="0" quotePrefix="0" xfId="0">
      <alignment vertical="center" wrapText="1"/>
    </xf>
    <xf numFmtId="184" fontId="0" fillId="4" borderId="1"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vertical="center"/>
    </xf>
    <xf numFmtId="9" fontId="3" fillId="4" borderId="1" applyAlignment="1" pivotButton="0" quotePrefix="0" xfId="0">
      <alignment vertical="center"/>
    </xf>
    <xf numFmtId="165" fontId="0" fillId="4" borderId="1" applyAlignment="1" pivotButton="0" quotePrefix="0" xfId="0">
      <alignment vertical="center"/>
    </xf>
    <xf numFmtId="186" fontId="0" fillId="4" borderId="1" applyAlignment="1" pivotButton="0" quotePrefix="0" xfId="0">
      <alignment vertical="center"/>
    </xf>
    <xf numFmtId="0" fontId="3" fillId="0" borderId="1" applyAlignment="1" pivotButton="0" quotePrefix="0" xfId="0">
      <alignment vertical="center" wrapText="1"/>
    </xf>
    <xf numFmtId="184" fontId="3" fillId="9" borderId="1" applyAlignment="1" pivotButton="0" quotePrefix="0" xfId="0">
      <alignment vertical="center"/>
    </xf>
    <xf numFmtId="0" fontId="2" fillId="3" borderId="1" applyAlignment="1" pivotButton="0" quotePrefix="0" xfId="0">
      <alignment horizontal="center" vertical="center" wrapText="1"/>
    </xf>
    <xf numFmtId="176" fontId="3" fillId="4" borderId="2" applyAlignment="1" pivotButton="0" quotePrefix="0" xfId="0">
      <alignment vertical="center"/>
    </xf>
    <xf numFmtId="0" fontId="7" fillId="0" borderId="1" applyAlignment="1" pivotButton="0" quotePrefix="0" xfId="0">
      <alignment horizontal="center" vertical="center" wrapText="1"/>
    </xf>
    <xf numFmtId="176" fontId="3" fillId="4" borderId="1" applyAlignment="1" pivotButton="0" quotePrefix="0" xfId="0">
      <alignment vertical="center"/>
    </xf>
    <xf numFmtId="176" fontId="3" fillId="7" borderId="1" applyAlignment="1" pivotButton="0" quotePrefix="0" xfId="0">
      <alignment vertical="center"/>
    </xf>
    <xf numFmtId="177" fontId="3" fillId="4" borderId="1" applyAlignment="1" pivotButton="0" quotePrefix="0" xfId="0">
      <alignment vertical="center"/>
    </xf>
    <xf numFmtId="179" fontId="3" fillId="7" borderId="1" applyAlignment="1" pivotButton="0" quotePrefix="0" xfId="0">
      <alignment vertical="center"/>
    </xf>
    <xf numFmtId="179" fontId="0" fillId="7" borderId="1" applyAlignment="1" pivotButton="0" quotePrefix="0" xfId="0">
      <alignment vertical="center"/>
    </xf>
    <xf numFmtId="181" fontId="0" fillId="4" borderId="1" applyAlignment="1" pivotButton="0" quotePrefix="0" xfId="0">
      <alignment vertical="center"/>
    </xf>
    <xf numFmtId="164" fontId="0" fillId="4" borderId="1" applyAlignment="1" pivotButton="0" quotePrefix="0" xfId="0">
      <alignment vertical="center"/>
    </xf>
    <xf numFmtId="182" fontId="0" fillId="4" borderId="1" applyAlignment="1" pivotButton="0" quotePrefix="0" xfId="0">
      <alignment vertical="center"/>
    </xf>
    <xf numFmtId="9" fontId="0" fillId="4" borderId="2" applyAlignment="1" pivotButton="0" quotePrefix="0" xfId="0">
      <alignment vertical="center"/>
    </xf>
    <xf numFmtId="9" fontId="0" fillId="5" borderId="1" applyAlignment="1" pivotButton="0" quotePrefix="0" xfId="0">
      <alignment vertical="center"/>
    </xf>
    <xf numFmtId="0" fontId="0" fillId="0" borderId="0" applyAlignment="1" pivotButton="0" quotePrefix="0" xfId="0">
      <alignment horizontal="center" vertical="center"/>
    </xf>
    <xf numFmtId="0" fontId="0" fillId="3" borderId="0" applyAlignment="1" pivotButton="0" quotePrefix="0" xfId="0">
      <alignment vertical="center"/>
    </xf>
    <xf numFmtId="0" fontId="3" fillId="3" borderId="0" applyAlignment="1" pivotButton="0" quotePrefix="0" xfId="0">
      <alignment vertical="center"/>
    </xf>
    <xf numFmtId="0" fontId="7" fillId="3" borderId="0" applyAlignment="1" pivotButton="0" quotePrefix="0" xfId="0">
      <alignment vertical="center"/>
    </xf>
    <xf numFmtId="0" fontId="3" fillId="0" borderId="1" applyAlignment="1" pivotButton="0" quotePrefix="0" xfId="0">
      <alignment horizontal="center" vertical="center" wrapText="1"/>
    </xf>
    <xf numFmtId="0" fontId="0" fillId="0" borderId="1" applyAlignment="1" pivotButton="0" quotePrefix="0" xfId="0">
      <alignment horizontal="center" vertical="center" wrapText="1"/>
    </xf>
    <xf numFmtId="183" fontId="0" fillId="4" borderId="2" applyAlignment="1" pivotButton="0" quotePrefix="0" xfId="0">
      <alignment vertical="center"/>
    </xf>
    <xf numFmtId="0" fontId="6" fillId="0" borderId="1" applyAlignment="1" pivotButton="0" quotePrefix="0" xfId="0">
      <alignment vertical="center" wrapText="1"/>
    </xf>
    <xf numFmtId="183" fontId="0" fillId="4" borderId="1" applyAlignment="1" pivotButton="0" quotePrefix="0" xfId="0">
      <alignment vertical="center"/>
    </xf>
    <xf numFmtId="0" fontId="0" fillId="10" borderId="0" applyAlignment="1" pivotButton="0" quotePrefix="0" xfId="0">
      <alignment vertical="center"/>
    </xf>
    <xf numFmtId="0" fontId="3" fillId="10" borderId="0" applyAlignment="1" pivotButton="0" quotePrefix="0" xfId="0">
      <alignment vertical="center"/>
    </xf>
    <xf numFmtId="0" fontId="7" fillId="10" borderId="0" applyAlignment="1" pivotButton="0" quotePrefix="0" xfId="0">
      <alignment vertical="center"/>
    </xf>
    <xf numFmtId="167" fontId="0" fillId="6" borderId="1" applyAlignment="1" pivotButton="0" quotePrefix="0" xfId="0">
      <alignment vertical="center"/>
    </xf>
    <xf numFmtId="167" fontId="0" fillId="5" borderId="1" applyAlignment="1" pivotButton="0" quotePrefix="0" xfId="0">
      <alignment vertical="center"/>
    </xf>
    <xf numFmtId="9" fontId="0" fillId="5" borderId="2" applyAlignment="1" pivotButton="0" quotePrefix="0" xfId="0">
      <alignment vertical="center"/>
    </xf>
    <xf numFmtId="3" fontId="0" fillId="6" borderId="1" applyAlignment="1" pivotButton="0" quotePrefix="0" xfId="0">
      <alignment vertical="center"/>
    </xf>
    <xf numFmtId="167" fontId="0" fillId="4" borderId="1" applyAlignment="1" pivotButton="0" quotePrefix="0" xfId="0">
      <alignment vertical="center"/>
    </xf>
    <xf numFmtId="167" fontId="3" fillId="4" borderId="1" applyAlignment="1" pivotButton="0" quotePrefix="0" xfId="0">
      <alignment vertical="center"/>
    </xf>
    <xf numFmtId="3" fontId="0" fillId="4" borderId="1" applyAlignment="1" pivotButton="0" quotePrefix="0" xfId="0">
      <alignment vertical="center"/>
    </xf>
    <xf numFmtId="2" fontId="0" fillId="4" borderId="1" applyAlignment="1" pivotButton="0" quotePrefix="0" xfId="0">
      <alignment vertical="center"/>
    </xf>
    <xf numFmtId="4" fontId="0" fillId="4" borderId="1" applyAlignment="1" pivotButton="0" quotePrefix="0" xfId="0">
      <alignment vertical="center"/>
    </xf>
    <xf numFmtId="3" fontId="3" fillId="4" borderId="1" applyAlignment="1" pivotButton="0" quotePrefix="0" xfId="0">
      <alignment vertical="center"/>
    </xf>
    <xf numFmtId="0" fontId="5" fillId="0" borderId="0" applyAlignment="1" pivotButton="0" quotePrefix="0" xfId="0">
      <alignment vertical="center" wrapText="1"/>
    </xf>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167" fontId="0" fillId="4" borderId="1" pivotButton="0" quotePrefix="0" xfId="0"/>
    <xf numFmtId="167" fontId="3" fillId="4" borderId="1" pivotButton="0" quotePrefix="0" xfId="0"/>
    <xf numFmtId="9" fontId="0" fillId="4" borderId="1" pivotButton="0" quotePrefix="0" xfId="0"/>
    <xf numFmtId="0" fontId="3" fillId="0" borderId="0" pivotButton="0" quotePrefix="0" xfId="0"/>
    <xf numFmtId="3" fontId="3" fillId="9" borderId="1" pivotButton="0" quotePrefix="0" xfId="0"/>
    <xf numFmtId="9" fontId="3" fillId="9" borderId="1" pivotButton="0" quotePrefix="0" xfId="0"/>
    <xf numFmtId="3" fontId="0" fillId="9" borderId="1" pivotButton="0" quotePrefix="0" xfId="0"/>
    <xf numFmtId="9" fontId="0" fillId="9" borderId="1" pivotButton="0" quotePrefix="0" xfId="0"/>
    <xf numFmtId="164" fontId="3" fillId="4" borderId="1" pivotButton="0" quotePrefix="0" xfId="0"/>
    <xf numFmtId="3" fontId="3" fillId="4" borderId="1" pivotButton="0" quotePrefix="0" xfId="0"/>
    <xf numFmtId="164" fontId="0" fillId="3" borderId="1" pivotButton="0" quotePrefix="0" xfId="0"/>
    <xf numFmtId="164" fontId="0" fillId="4" borderId="1" pivotButton="0" quotePrefix="0" xfId="0"/>
    <xf numFmtId="165" fontId="0" fillId="5" borderId="1" pivotButton="0" quotePrefix="0" xfId="0"/>
    <xf numFmtId="164" fontId="0" fillId="5" borderId="1" pivotButton="0" quotePrefix="0" xfId="0"/>
    <xf numFmtId="165" fontId="0" fillId="5" borderId="2" pivotButton="0" quotePrefix="0" xfId="0"/>
    <xf numFmtId="3" fontId="0" fillId="5" borderId="1" pivotButton="0" quotePrefix="0" xfId="0"/>
    <xf numFmtId="164" fontId="0" fillId="6" borderId="1" pivotButton="0" quotePrefix="0" xfId="0"/>
    <xf numFmtId="165" fontId="0" fillId="4" borderId="1" pivotButton="0" quotePrefix="0" xfId="0"/>
    <xf numFmtId="10" fontId="0" fillId="4" borderId="1" pivotButton="0" quotePrefix="0" xfId="0"/>
    <xf numFmtId="2" fontId="0" fillId="3" borderId="2" pivotButton="0" quotePrefix="0" xfId="0"/>
    <xf numFmtId="164" fontId="0" fillId="7" borderId="1" pivotButton="0" quotePrefix="0" xfId="0"/>
    <xf numFmtId="1" fontId="0" fillId="3" borderId="1" pivotButton="0" quotePrefix="0" xfId="0"/>
    <xf numFmtId="2" fontId="0" fillId="3" borderId="1" pivotButton="0" quotePrefix="0" xfId="0"/>
    <xf numFmtId="166" fontId="0" fillId="6" borderId="1" pivotButton="0" quotePrefix="0" xfId="0"/>
    <xf numFmtId="2" fontId="0" fillId="4" borderId="1" pivotButton="0" quotePrefix="0" xfId="0"/>
    <xf numFmtId="3" fontId="0" fillId="4" borderId="1" pivotButton="0" quotePrefix="0" xfId="0"/>
    <xf numFmtId="2" fontId="0" fillId="6" borderId="1" pivotButton="0" quotePrefix="0" xfId="0"/>
    <xf numFmtId="9" fontId="0" fillId="5" borderId="1" pivotButton="0" quotePrefix="0" xfId="0"/>
    <xf numFmtId="2" fontId="0" fillId="5" borderId="1" pivotButton="0" quotePrefix="0" xfId="0"/>
    <xf numFmtId="2" fontId="3" fillId="4" borderId="1" pivotButton="0" quotePrefix="0" xfId="0"/>
    <xf numFmtId="3" fontId="0" fillId="6" borderId="1" pivotButton="0" quotePrefix="0" xfId="0"/>
    <xf numFmtId="1" fontId="0" fillId="5" borderId="1" pivotButton="0" quotePrefix="0" xfId="0"/>
    <xf numFmtId="168" fontId="0" fillId="6" borderId="1" pivotButton="0" quotePrefix="0" xfId="0"/>
    <xf numFmtId="168" fontId="0" fillId="4" borderId="1" pivotButton="0" quotePrefix="0" xfId="0"/>
    <xf numFmtId="1" fontId="0" fillId="4" borderId="1" pivotButton="0" quotePrefix="0" xfId="0"/>
    <xf numFmtId="166" fontId="0" fillId="4" borderId="1" pivotButton="0" quotePrefix="0" xfId="0"/>
    <xf numFmtId="0" fontId="3" fillId="9" borderId="1" pivotButton="0" quotePrefix="0" xfId="0"/>
    <xf numFmtId="3" fontId="0" fillId="0" borderId="1" pivotButton="0" quotePrefix="0" xfId="0"/>
    <xf numFmtId="0" fontId="3" fillId="9" borderId="1" applyAlignment="1" pivotButton="0" quotePrefix="0" xfId="0">
      <alignment vertical="top" wrapText="1"/>
    </xf>
    <xf numFmtId="169" fontId="0" fillId="6" borderId="1" pivotButton="0" quotePrefix="0" xfId="0"/>
    <xf numFmtId="170" fontId="0" fillId="4" borderId="1" pivotButton="0" quotePrefix="0" xfId="0"/>
    <xf numFmtId="171" fontId="0" fillId="4" borderId="1" pivotButton="0" quotePrefix="0" xfId="0"/>
    <xf numFmtId="0" fontId="0" fillId="0" borderId="1" applyAlignment="1" pivotButton="0" quotePrefix="0" xfId="0">
      <alignment vertical="top" wrapText="1"/>
    </xf>
    <xf numFmtId="169" fontId="0" fillId="5" borderId="1" pivotButton="0" quotePrefix="0" xfId="0"/>
    <xf numFmtId="0" fontId="0" fillId="6"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6" borderId="1" pivotButton="0" quotePrefix="0" xfId="0"/>
    <xf numFmtId="0" fontId="0" fillId="5" borderId="1" pivotButton="0" quotePrefix="0" xfId="0"/>
    <xf numFmtId="167"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Where the FY2026 saving comes from ($B/yr)</a:t>
            </a:r>
          </a:p>
        </rich>
      </tx>
    </title>
    <plotArea>
      <barChart>
        <barDir val="bar"/>
        <grouping val="clustered"/>
        <ser>
          <idx val="0"/>
          <order val="0"/>
          <spPr>
            <a:ln>
              <a:prstDash val="solid"/>
            </a:ln>
          </spPr>
          <dPt>
            <idx val="0"/>
            <spPr>
              <a:solidFill>
                <a:srgbClr val="2A78D6"/>
              </a:solidFill>
              <a:ln>
                <a:solidFill>
                  <a:srgbClr val="2A78D6"/>
                </a:solidFill>
                <a:prstDash val="solid"/>
              </a:ln>
            </spPr>
          </dPt>
          <dPt>
            <idx val="1"/>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Bridge'!$A$40:$A$41</f>
            </numRef>
          </cat>
          <val>
            <numRef>
              <f>'Value Bridge'!$B$40:$B$41</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Spend cut as each lever switches on ($B/yr, FY2026)</a:t>
            </a:r>
          </a:p>
        </rich>
      </tx>
    </title>
    <plotArea>
      <barChart>
        <barDir val="bar"/>
        <grouping val="clustered"/>
        <ser>
          <idx val="0"/>
          <order val="0"/>
          <tx>
            <strRef>
              <f>'Value Bridge'!F49</f>
            </strRef>
          </tx>
          <spPr>
            <a:ln>
              <a:prstDash val="solid"/>
            </a:ln>
          </spPr>
          <dPt>
            <idx val="0"/>
            <spPr>
              <a:solidFill>
                <a:srgbClr val="A3A29C"/>
              </a:solidFill>
              <a:ln>
                <a:solidFill>
                  <a:srgbClr val="A3A29C"/>
                </a:solidFill>
                <a:prstDash val="solid"/>
              </a:ln>
            </spPr>
          </dPt>
          <dPt>
            <idx val="1"/>
            <spPr>
              <a:solidFill>
                <a:srgbClr val="2A78D6"/>
              </a:solidFill>
              <a:ln>
                <a:solidFill>
                  <a:srgbClr val="2A78D6"/>
                </a:solidFill>
                <a:prstDash val="solid"/>
              </a:ln>
            </spPr>
          </dPt>
          <dPt>
            <idx val="2"/>
            <spPr>
              <a:solidFill>
                <a:srgbClr val="EB6834"/>
              </a:solidFill>
              <a:ln>
                <a:solidFill>
                  <a:srgbClr val="EB6834"/>
                </a:solidFill>
                <a:prstDash val="solid"/>
              </a:ln>
            </spPr>
          </dPt>
          <dLbls>
            <numFmt formatCode="&quot;$&quot;#,##0&quot;B&quot;"/>
            <showLegendKey val="0"/>
            <showVal val="1"/>
            <showCatName val="0"/>
            <showSerName val="0"/>
            <showPercent val="0"/>
          </dLbls>
          <cat>
            <numRef>
              <f>'Value Bridge'!$A$50:$A$52</f>
            </numRef>
          </cat>
          <val>
            <numRef>
              <f>'Value Bridge'!$F$50:$F$52</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Change in the FY2026 saving, $B (teal = Helarctos lever, gray = market &amp; company data)</a:t>
            </a:r>
          </a:p>
        </rich>
      </tx>
    </title>
    <plotArea>
      <barChart>
        <barDir val="bar"/>
        <grouping val="clustered"/>
        <ser>
          <idx val="0"/>
          <order val="0"/>
          <tx>
            <v>Low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5"/>
            <spPr>
              <a:solidFill>
                <a:srgbClr val="1BAF7A"/>
              </a:solidFill>
              <a:ln>
                <a:solidFill>
                  <a:srgbClr val="1BAF7A"/>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Pt>
            <idx val="13"/>
            <spPr>
              <a:solidFill>
                <a:srgbClr val="A3A29C"/>
              </a:solidFill>
              <a:ln>
                <a:solidFill>
                  <a:srgbClr val="A3A29C"/>
                </a:solidFill>
                <a:prstDash val="solid"/>
              </a:ln>
            </spPr>
          </dPt>
          <dPt>
            <idx val="14"/>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Matters'!$B$5:$B$19</f>
            </numRef>
          </cat>
          <val>
            <numRef>
              <f>'What Matters'!$E$5:$E$19</f>
            </numRef>
          </val>
        </ser>
        <ser>
          <idx val="1"/>
          <order val="1"/>
          <tx>
            <v>High case</v>
          </tx>
          <spPr>
            <a:ln>
              <a:prstDash val="solid"/>
            </a:ln>
          </spPr>
          <dPt>
            <idx val="1"/>
            <spPr>
              <a:solidFill>
                <a:srgbClr val="1BAF7A"/>
              </a:solidFill>
              <a:ln>
                <a:solidFill>
                  <a:srgbClr val="1BAF7A"/>
                </a:solidFill>
                <a:prstDash val="solid"/>
              </a:ln>
            </spPr>
          </dPt>
          <dPt>
            <idx val="2"/>
            <spPr>
              <a:solidFill>
                <a:srgbClr val="1BAF7A"/>
              </a:solidFill>
              <a:ln>
                <a:solidFill>
                  <a:srgbClr val="1BAF7A"/>
                </a:solidFill>
                <a:prstDash val="solid"/>
              </a:ln>
            </spPr>
          </dPt>
          <dPt>
            <idx val="3"/>
            <spPr>
              <a:solidFill>
                <a:srgbClr val="1BAF7A"/>
              </a:solidFill>
              <a:ln>
                <a:solidFill>
                  <a:srgbClr val="1BAF7A"/>
                </a:solidFill>
                <a:prstDash val="solid"/>
              </a:ln>
            </spPr>
          </dPt>
          <dPt>
            <idx val="4"/>
            <spPr>
              <a:solidFill>
                <a:srgbClr val="1BAF7A"/>
              </a:solidFill>
              <a:ln>
                <a:solidFill>
                  <a:srgbClr val="1BAF7A"/>
                </a:solidFill>
                <a:prstDash val="solid"/>
              </a:ln>
            </spPr>
          </dPt>
          <dPt>
            <idx val="5"/>
            <spPr>
              <a:solidFill>
                <a:srgbClr val="1BAF7A"/>
              </a:solidFill>
              <a:ln>
                <a:solidFill>
                  <a:srgbClr val="1BAF7A"/>
                </a:solidFill>
                <a:prstDash val="solid"/>
              </a:ln>
            </spPr>
          </dPt>
          <dPt>
            <idx val="7"/>
            <spPr>
              <a:solidFill>
                <a:srgbClr val="A3A29C"/>
              </a:solidFill>
              <a:ln>
                <a:solidFill>
                  <a:srgbClr val="A3A29C"/>
                </a:solidFill>
                <a:prstDash val="solid"/>
              </a:ln>
            </spPr>
          </dPt>
          <dPt>
            <idx val="8"/>
            <spPr>
              <a:solidFill>
                <a:srgbClr val="A3A29C"/>
              </a:solidFill>
              <a:ln>
                <a:solidFill>
                  <a:srgbClr val="A3A29C"/>
                </a:solidFill>
                <a:prstDash val="solid"/>
              </a:ln>
            </spPr>
          </dPt>
          <dPt>
            <idx val="9"/>
            <spPr>
              <a:solidFill>
                <a:srgbClr val="A3A29C"/>
              </a:solidFill>
              <a:ln>
                <a:solidFill>
                  <a:srgbClr val="A3A29C"/>
                </a:solidFill>
                <a:prstDash val="solid"/>
              </a:ln>
            </spPr>
          </dPt>
          <dPt>
            <idx val="10"/>
            <spPr>
              <a:solidFill>
                <a:srgbClr val="A3A29C"/>
              </a:solidFill>
              <a:ln>
                <a:solidFill>
                  <a:srgbClr val="A3A29C"/>
                </a:solidFill>
                <a:prstDash val="solid"/>
              </a:ln>
            </spPr>
          </dPt>
          <dPt>
            <idx val="11"/>
            <spPr>
              <a:solidFill>
                <a:srgbClr val="A3A29C"/>
              </a:solidFill>
              <a:ln>
                <a:solidFill>
                  <a:srgbClr val="A3A29C"/>
                </a:solidFill>
                <a:prstDash val="solid"/>
              </a:ln>
            </spPr>
          </dPt>
          <dPt>
            <idx val="12"/>
            <spPr>
              <a:solidFill>
                <a:srgbClr val="A3A29C"/>
              </a:solidFill>
              <a:ln>
                <a:solidFill>
                  <a:srgbClr val="A3A29C"/>
                </a:solidFill>
                <a:prstDash val="solid"/>
              </a:ln>
            </spPr>
          </dPt>
          <dPt>
            <idx val="13"/>
            <spPr>
              <a:solidFill>
                <a:srgbClr val="A3A29C"/>
              </a:solidFill>
              <a:ln>
                <a:solidFill>
                  <a:srgbClr val="A3A29C"/>
                </a:solidFill>
                <a:prstDash val="solid"/>
              </a:ln>
            </spPr>
          </dPt>
          <dPt>
            <idx val="14"/>
            <spPr>
              <a:solidFill>
                <a:srgbClr val="A3A29C"/>
              </a:solidFill>
              <a:ln>
                <a:solidFill>
                  <a:srgbClr val="A3A29C"/>
                </a:solidFill>
                <a:prstDash val="solid"/>
              </a:ln>
            </spPr>
          </dPt>
          <dLbls>
            <numFmt formatCode="+&quot;$&quot;#,##0&quot;B&quot;;-&quot;$&quot;#,##0&quot;B&quot;;&quot;$0&quot;"/>
            <showLegendKey val="0"/>
            <showVal val="1"/>
            <showCatName val="0"/>
            <showSerName val="0"/>
            <showPercent val="0"/>
          </dLbls>
          <cat>
            <numRef>
              <f>'What Matters'!$B$5:$B$19</f>
            </numRef>
          </cat>
          <val>
            <numRef>
              <f>'What Matters'!$G$5:$G$19</f>
            </numRef>
          </val>
        </ser>
        <gapWidth val="40"/>
        <overlap val="10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5</row>
      <rowOff>0</rowOff>
    </from>
    <ext cx="4176000" cy="20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54</row>
      <rowOff>0</rowOff>
    </from>
    <ext cx="684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 /><Relationship Type="http://schemas.openxmlformats.org/officeDocument/2006/relationships/hyperlink" Target="https://www.fool.com/earnings/call-transcripts/2026/04/29/microsoft-msft-q3-2026-earnings-transcript/" TargetMode="External" Id="rId2" /><Relationship Type="http://schemas.openxmlformats.org/officeDocument/2006/relationships/hyperlink" Target="https://news.alphastreet.com/microsoft-msft-q3-fy2026-azure-hits-40-growth-as-ai-business-reaches-37-billion-run-rate/" TargetMode="External" Id="rId3" /><Relationship Type="http://schemas.openxmlformats.org/officeDocument/2006/relationships/hyperlink" Target="https://techcrunch.com/2024/12/18/microsoft-bought-nearly-500000-nvidia-hopper-chips-this-year/" TargetMode="External" Id="rId4" /></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 /><Relationship Type="http://schemas.openxmlformats.org/officeDocument/2006/relationships/hyperlink" Target="https://www.cnbc.com/2026/04/29/alphabet-googl-q1-2026-earnings.html" TargetMode="External" Id="rId2" /><Relationship Type="http://schemas.openxmlformats.org/officeDocument/2006/relationships/hyperlink" Target="https://newsletter.semianalysis.com/p/tpuv7-google-takes-a-swing-at-the" TargetMode="External" Id="rId3" /></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 /><Relationship Type="http://schemas.openxmlformats.org/officeDocument/2006/relationships/hyperlink" Target="https://www.fool.com/earnings/call-transcripts/2026/02/05/amazon-amzn-q4-2025-earnings-call-transcript/" TargetMode="External" Id="rId2" /><Relationship Type="http://schemas.openxmlformats.org/officeDocument/2006/relationships/hyperlink" Target="https://www.bnnbloomberg.ca/business/artificial-intelligence/2026/04/09/amazon-cloud-units-ai-revenue-run-rate-exceeds-us15-billion-in-first-quarter-ceo-says/" TargetMode="External" Id="rId3" /></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 /><Relationship Type="http://schemas.openxmlformats.org/officeDocument/2006/relationships/hyperlink" Target="https://www.fool.com/earnings/call-transcripts/2026/04/29/meta-meta-q1-2026-earnings-call-transcript/" TargetMode="External" Id="rId2" /><Relationship Type="http://schemas.openxmlformats.org/officeDocument/2006/relationships/hyperlink" Target="https://techcrunch.com/2025/01/24/mark-zuckerberg-says-meta-will-have-1-3m-gpus-for-ai-by-year-end/" TargetMode="External" Id="rId3" /><Relationship Type="http://schemas.openxmlformats.org/officeDocument/2006/relationships/hyperlink" Target="https://www.thestack.technology/meta-extends-server-life-again-saving-it-2-9-billion/" TargetMode="External" Id="rId4" /><Relationship Type="http://schemas.openxmlformats.org/officeDocument/2006/relationships/hyperlink" Target="https://finance.yahoo.com/news/big-techs-spending-drove-nvidias-rise-154027146.html" TargetMode="External" Id="rId5" /></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 /><Relationship Type="http://schemas.openxmlformats.org/officeDocument/2006/relationships/hyperlink" Target="https://futurumgroup.com/insights/oracle-delivers-q4-fy-2025-results-with-27-cloud-growth-rpo-hits-138-billion/" TargetMode="External" Id="rId2" /><Relationship Type="http://schemas.openxmlformats.org/officeDocument/2006/relationships/hyperlink" Target="https://futurumgroup.com/insights/oracle-q2-fy-2026-cloud-grows-capex-rises-for-ai-buildout/" TargetMode="External" Id="rId3" /></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 /><Relationship Type="http://schemas.openxmlformats.org/officeDocument/2006/relationships/hyperlink" Target="https://www.hl.co.uk/news/inside-spacexs-ipo-filing-revenue-starlink-ai-and-key-financials" TargetMode="External" Id="rId2" /><Relationship Type="http://schemas.openxmlformats.org/officeDocument/2006/relationships/hyperlink" Target="https://www.investing.com/analysis/spacex-is-quietly-becoming-an-ai-compute-and-orbital-infrastructure-company-200681776" TargetMode="External" Id="rId3" /><Relationship Type="http://schemas.openxmlformats.org/officeDocument/2006/relationships/hyperlink" Target="https://www.datacenterdynamics.com/en/news/spacex-ipo-musks-firm-set-to-launch-first-orbital-data-center-ai1-satellites-in-2027-will-put-compute-on-starlink-craft/" TargetMode="External" Id="rId4" /></Relationships>
</file>

<file path=xl/worksheets/sheet1.xml><?xml version="1.0" encoding="utf-8"?>
<worksheet xmlns="http://schemas.openxmlformats.org/spreadsheetml/2006/main">
  <sheetPr>
    <tabColor rgb="000B2545"/>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14" customWidth="1" min="3" max="3"/>
    <col width="11" customWidth="1" min="4" max="4"/>
    <col width="15" customWidth="1" min="5" max="5"/>
    <col width="15" customWidth="1" min="6" max="6"/>
    <col width="15" customWidth="1" min="7" max="7"/>
    <col width="15" customWidth="1" min="8" max="8"/>
  </cols>
  <sheetData>
    <row r="1" ht="30" customHeight="1">
      <c r="A1" s="1" t="inlineStr">
        <is>
          <t>HELARCTOS × AI CAPEX — the AI spend a more efficient architecture makes unnecessary</t>
        </is>
      </c>
      <c r="B1" s="2" t="n"/>
      <c r="C1" s="2" t="n"/>
      <c r="D1" s="2" t="n"/>
      <c r="E1" s="2" t="n"/>
      <c r="F1" s="2" t="n"/>
      <c r="G1" s="2" t="n"/>
      <c r="H1" s="2" t="n"/>
    </row>
    <row r="2" ht="48" customHeight="1">
      <c r="A2" s="3">
        <f>"In FY2026 Microsoft, Alphabet, Amazon, Meta, Oracle and SpaceX will spend ~$"&amp;TEXT('Value Bridge'!M82,"#,##0")&amp;"B on AI and earn ~$"&amp;TEXT('Value Bridge'!O82,"#,##0")&amp;"B from it. Helarctos models do the same AI work — training and inference at the same quality — on far fewer GPUs. This page shows how much of that spend becomes unnecessary, and which Helarctos levers drive it."</f>
        <v/>
      </c>
    </row>
    <row r="3">
      <c r="A3" s="4">
        <f>"Scenario: "&amp;Scenario&amp;"  (◆ switch it on the Levers tab, cell C4)  ·  262k-token average conversation  ·  $B per year unless stated"</f>
        <v/>
      </c>
    </row>
    <row r="4"/>
    <row r="5" ht="20" customHeight="1">
      <c r="A5" s="5" t="inlineStr">
        <is>
          <t>THE HEADLINE</t>
        </is>
      </c>
      <c r="B5" s="6" t="n"/>
      <c r="C5" s="6" t="n"/>
      <c r="D5" s="6" t="n"/>
      <c r="E5" s="6" t="n"/>
      <c r="F5" s="6" t="n"/>
      <c r="G5" s="6" t="n"/>
      <c r="H5" s="6" t="n"/>
    </row>
    <row r="6" ht="18" customHeight="1">
      <c r="A6" s="7" t="inlineStr"/>
      <c r="B6" s="8" t="inlineStr">
        <is>
          <t>FY2026</t>
        </is>
      </c>
      <c r="C6" s="8" t="inlineStr">
        <is>
          <t>FY2025</t>
        </is>
      </c>
    </row>
    <row r="7" ht="22" customHeight="1">
      <c r="A7" s="9" t="inlineStr">
        <is>
          <t>AI spend: chips, data centres, power</t>
        </is>
      </c>
      <c r="B7" s="10">
        <f>'Value Bridge'!M82</f>
        <v/>
      </c>
      <c r="C7" s="10">
        <f>'Value Bridge'!M92</f>
        <v/>
      </c>
    </row>
    <row r="8" ht="22" customHeight="1">
      <c r="A8" s="9" t="inlineStr">
        <is>
          <t>AI revenue</t>
        </is>
      </c>
      <c r="B8" s="10">
        <f>'Value Bridge'!O82</f>
        <v/>
      </c>
      <c r="C8" s="10">
        <f>'Value Bridge'!O92</f>
        <v/>
      </c>
    </row>
    <row r="9" ht="22" customHeight="1">
      <c r="A9" s="9" t="inlineStr">
        <is>
          <t>Net AI cash result today</t>
        </is>
      </c>
      <c r="B9" s="10">
        <f>'Value Bridge'!P82</f>
        <v/>
      </c>
      <c r="C9" s="10">
        <f>'Value Bridge'!P92</f>
        <v/>
      </c>
    </row>
    <row r="10" ht="22" customHeight="1">
      <c r="A10" s="11" t="inlineStr">
        <is>
          <t>Spend Helarctos makes unnecessary, per year</t>
        </is>
      </c>
      <c r="B10" s="12">
        <f>'Value Bridge'!L82</f>
        <v/>
      </c>
      <c r="C10" s="12">
        <f>'Value Bridge'!L92</f>
        <v/>
      </c>
    </row>
    <row r="11" ht="22" customHeight="1">
      <c r="A11" s="11" t="inlineStr">
        <is>
          <t>…as a share of all AI spend</t>
        </is>
      </c>
      <c r="B11" s="13">
        <f>'Value Bridge'!N82</f>
        <v/>
      </c>
      <c r="C11" s="13">
        <f>'Value Bridge'!N92</f>
        <v/>
      </c>
    </row>
    <row r="12" ht="22" customHeight="1">
      <c r="A12" s="9" t="inlineStr">
        <is>
          <t>Net AI cash result with Helarctos</t>
        </is>
      </c>
      <c r="B12" s="10">
        <f>'Value Bridge'!Q82</f>
        <v/>
      </c>
      <c r="C12" s="10">
        <f>'Value Bridge'!Q92</f>
        <v/>
      </c>
    </row>
    <row r="13" ht="33" customHeight="1">
      <c r="A13" s="14" t="inlineStr">
        <is>
          <t>Yearly saving, capitalized at the discount rate</t>
        </is>
      </c>
      <c r="B13" s="15">
        <f>'Value Bridge'!L82/Inputs!$B$6/1000</f>
        <v/>
      </c>
      <c r="C13" s="15">
        <f>'Value Bridge'!L92/Inputs!$B$6/1000</f>
        <v/>
      </c>
    </row>
    <row r="14"/>
    <row r="15" ht="20" customHeight="1">
      <c r="A15" s="5" t="inlineStr">
        <is>
          <t>WHERE THE FY2026 SAVING COMES FROM — and the Helarctos levers behind it</t>
        </is>
      </c>
      <c r="B15" s="6" t="n"/>
      <c r="C15" s="6" t="n"/>
      <c r="D15" s="6" t="n"/>
      <c r="E15" s="6" t="n"/>
      <c r="F15" s="6" t="n"/>
      <c r="G15" s="6" t="n"/>
      <c r="H15" s="6" t="n"/>
    </row>
    <row r="16" ht="18" customHeight="1">
      <c r="A16" s="7" t="inlineStr">
        <is>
          <t>Fleet / Helarctos lever</t>
        </is>
      </c>
      <c r="B16" s="8" t="inlineStr">
        <is>
          <t>$B per year</t>
        </is>
      </c>
      <c r="C16" s="8" t="inlineStr">
        <is>
          <t>Share</t>
        </is>
      </c>
      <c r="D16" s="8" t="inlineStr">
        <is>
          <t>Lever</t>
        </is>
      </c>
      <c r="E16" s="8" t="inlineStr">
        <is>
          <t>How it works</t>
        </is>
      </c>
      <c r="F16" s="16" t="n"/>
      <c r="G16" s="16" t="n"/>
      <c r="H16" s="17" t="n"/>
    </row>
    <row r="17" ht="48" customHeight="1">
      <c r="A17" s="11" t="inlineStr">
        <is>
          <t>Training fleet (capex + power)</t>
        </is>
      </c>
      <c r="B17" s="18">
        <f>'Value Bridge'!F82+'Value Bridge'!J82</f>
        <v/>
      </c>
      <c r="C17" s="19">
        <f>B17/$B$25</f>
        <v/>
      </c>
      <c r="D17" s="20">
        <f>TrainLever</f>
        <v/>
      </c>
      <c r="E17" s="21">
        <f>"H1 × H2 × H3 = ~"&amp;TEXT(TrainLever,"0")&amp;"× fewer GPU-hours per training run, so training clusters can be that much smaller. The GPUs never bought are capex avoided; their power is saved every year."</f>
        <v/>
      </c>
    </row>
    <row r="18" ht="33" customHeight="1">
      <c r="A18" s="22" t="inlineStr">
        <is>
          <t xml:space="preserve">    H1 · Smaller model for the same quality ★</t>
        </is>
      </c>
      <c r="B18" s="23" t="n"/>
      <c r="C18" s="23" t="n"/>
      <c r="D18" s="24">
        <f>SmallerModel</f>
        <v/>
      </c>
      <c r="E18" s="21" t="inlineStr">
        <is>
          <t>Same quality with ~24% of the parameters (projected from models we trained).</t>
        </is>
      </c>
    </row>
    <row r="19" ht="33" customHeight="1">
      <c r="A19" s="22" t="inlineStr">
        <is>
          <t xml:space="preserve">    H2 · Fewer training tokens</t>
        </is>
      </c>
      <c r="B19" s="23" t="n"/>
      <c r="C19" s="23" t="n"/>
      <c r="D19" s="25">
        <f>FewerTokens</f>
        <v/>
      </c>
      <c r="E19" s="21" t="inlineStr">
        <is>
          <t>Compute-optimal training needs data in proportion to model size.</t>
        </is>
      </c>
    </row>
    <row r="20" ht="33" customHeight="1">
      <c r="A20" s="22" t="inlineStr">
        <is>
          <t xml:space="preserve">    H3 · Training speed per token (same model size) ◆</t>
        </is>
      </c>
      <c r="B20" s="23" t="n"/>
      <c r="C20" s="23" t="n"/>
      <c r="D20" s="26">
        <f>TrainSpeed</f>
        <v/>
      </c>
      <c r="E20" s="21" t="inlineStr">
        <is>
          <t>About the same as a transformer at the same size — no credit taken.</t>
        </is>
      </c>
    </row>
    <row r="21" ht="63" customHeight="1">
      <c r="A21" s="11" t="inlineStr">
        <is>
          <t>Inference fleet (capex + power)</t>
        </is>
      </c>
      <c r="B21" s="18">
        <f>'Value Bridge'!G82+'Value Bridge'!K82</f>
        <v/>
      </c>
      <c r="C21" s="19">
        <f>B21/$B$25</f>
        <v/>
      </c>
      <c r="D21" s="27">
        <f>ServeGPULever</f>
        <v/>
      </c>
      <c r="E21" s="21">
        <f>"Tokens per GPU rise ~"&amp;TEXT(ServeComputeLever,"0")&amp;"× (H5 × H6, with prompts added back). A GPU is bought whole, so the inference fleet shrinks by the smaller of memory and tokens per GPU: ~"&amp;TEXT(ServeGPULever,"0")&amp;"× fewer GPUs, plus the power they would draw."</f>
        <v/>
      </c>
    </row>
    <row r="22" ht="33" customHeight="1">
      <c r="A22" s="22" t="inlineStr">
        <is>
          <t xml:space="preserve">    H4 · Memory per live conversation</t>
        </is>
      </c>
      <c r="B22" s="23" t="n"/>
      <c r="C22" s="23" t="n"/>
      <c r="D22" s="28">
        <f>MemoryLever</f>
        <v/>
      </c>
      <c r="E22" s="21" t="inlineStr">
        <is>
          <t>Fixed-size state instead of a memory that grows with every token (measured ×2,032 at 262k on our test model).</t>
        </is>
      </c>
    </row>
    <row r="23" ht="33" customHeight="1">
      <c r="A23" s="22" t="inlineStr">
        <is>
          <t xml:space="preserve">    H5 · More conversations per GPU</t>
        </is>
      </c>
      <c r="B23" s="23" t="n"/>
      <c r="C23" s="23" t="n"/>
      <c r="D23" s="29">
        <f>MoreConversations</f>
        <v/>
      </c>
      <c r="E23" s="21" t="inlineStr">
        <is>
          <t>64 resident 262k-token conversations per GPU where a transformer fits 1 (measured).</t>
        </is>
      </c>
    </row>
    <row r="24" ht="33" customHeight="1">
      <c r="A24" s="22" t="inlineStr">
        <is>
          <t xml:space="preserve">    H6 · Faster decode per token</t>
        </is>
      </c>
      <c r="B24" s="23" t="n"/>
      <c r="C24" s="23" t="n"/>
      <c r="D24" s="30">
        <f>FasterDecode</f>
        <v/>
      </c>
      <c r="E24" s="21" t="inlineStr">
        <is>
          <t>Each next token in 2.5 ms instead of ~15.6 ms (estimate; ×2.6 measured on older kernels).</t>
        </is>
      </c>
    </row>
    <row r="25" ht="33" customHeight="1">
      <c r="A25" s="31" t="inlineStr">
        <is>
          <t>TOTAL</t>
        </is>
      </c>
      <c r="B25" s="32">
        <f>B17+B21</f>
        <v/>
      </c>
      <c r="C25" s="33">
        <f>C17+C21</f>
        <v/>
      </c>
      <c r="D25" s="34" t="n"/>
      <c r="E25" s="21" t="inlineStr">
        <is>
          <t>Step-by-step build and the one-lever-at-a-time view: Value Bridge tab.</t>
        </is>
      </c>
    </row>
    <row r="26"/>
    <row r="27" ht="20" customHeight="1">
      <c r="A27" s="5" t="inlineStr">
        <is>
          <t>BY COMPANY — FY2026, $B per year</t>
        </is>
      </c>
      <c r="B27" s="6" t="n"/>
      <c r="C27" s="6" t="n"/>
      <c r="D27" s="6" t="n"/>
      <c r="E27" s="6" t="n"/>
      <c r="F27" s="6" t="n"/>
      <c r="G27" s="6" t="n"/>
      <c r="H27" s="6" t="n"/>
    </row>
    <row r="28" ht="33" customHeight="1">
      <c r="A28" s="7" t="inlineStr">
        <is>
          <t>Company</t>
        </is>
      </c>
      <c r="B28" s="8" t="inlineStr">
        <is>
          <t>AI spend</t>
        </is>
      </c>
      <c r="C28" s="8" t="inlineStr">
        <is>
          <t>Training saving</t>
        </is>
      </c>
      <c r="D28" s="8" t="inlineStr">
        <is>
          <t>Inference saving</t>
        </is>
      </c>
      <c r="E28" s="8" t="inlineStr">
        <is>
          <t>Total saving</t>
        </is>
      </c>
      <c r="F28" s="8" t="inlineStr">
        <is>
          <t>% of AI spend</t>
        </is>
      </c>
      <c r="G28" s="8" t="inlineStr">
        <is>
          <t>Net AI today</t>
        </is>
      </c>
      <c r="H28" s="8" t="inlineStr">
        <is>
          <t>Net AI with Helarctos</t>
        </is>
      </c>
    </row>
    <row r="29">
      <c r="A29" s="9" t="inlineStr">
        <is>
          <t>Microsoft</t>
        </is>
      </c>
      <c r="B29" s="10">
        <f>'Value Bridge'!M76</f>
        <v/>
      </c>
      <c r="C29" s="10">
        <f>'Value Bridge'!F76+'Value Bridge'!J76</f>
        <v/>
      </c>
      <c r="D29" s="10">
        <f>'Value Bridge'!G76+'Value Bridge'!K76</f>
        <v/>
      </c>
      <c r="E29" s="35">
        <f>'Value Bridge'!L76</f>
        <v/>
      </c>
      <c r="F29" s="19">
        <f>'Value Bridge'!N76</f>
        <v/>
      </c>
      <c r="G29" s="10">
        <f>'Value Bridge'!P76</f>
        <v/>
      </c>
      <c r="H29" s="10">
        <f>'Value Bridge'!Q76</f>
        <v/>
      </c>
    </row>
    <row r="30">
      <c r="A30" s="9" t="inlineStr">
        <is>
          <t>Alphabet</t>
        </is>
      </c>
      <c r="B30" s="10">
        <f>'Value Bridge'!M77</f>
        <v/>
      </c>
      <c r="C30" s="10">
        <f>'Value Bridge'!F77+'Value Bridge'!J77</f>
        <v/>
      </c>
      <c r="D30" s="10">
        <f>'Value Bridge'!G77+'Value Bridge'!K77</f>
        <v/>
      </c>
      <c r="E30" s="35">
        <f>'Value Bridge'!L77</f>
        <v/>
      </c>
      <c r="F30" s="19">
        <f>'Value Bridge'!N77</f>
        <v/>
      </c>
      <c r="G30" s="10">
        <f>'Value Bridge'!P77</f>
        <v/>
      </c>
      <c r="H30" s="10">
        <f>'Value Bridge'!Q77</f>
        <v/>
      </c>
    </row>
    <row r="31">
      <c r="A31" s="9" t="inlineStr">
        <is>
          <t>Amazon</t>
        </is>
      </c>
      <c r="B31" s="10">
        <f>'Value Bridge'!M78</f>
        <v/>
      </c>
      <c r="C31" s="10">
        <f>'Value Bridge'!F78+'Value Bridge'!J78</f>
        <v/>
      </c>
      <c r="D31" s="10">
        <f>'Value Bridge'!G78+'Value Bridge'!K78</f>
        <v/>
      </c>
      <c r="E31" s="35">
        <f>'Value Bridge'!L78</f>
        <v/>
      </c>
      <c r="F31" s="19">
        <f>'Value Bridge'!N78</f>
        <v/>
      </c>
      <c r="G31" s="10">
        <f>'Value Bridge'!P78</f>
        <v/>
      </c>
      <c r="H31" s="10">
        <f>'Value Bridge'!Q78</f>
        <v/>
      </c>
    </row>
    <row r="32">
      <c r="A32" s="9" t="inlineStr">
        <is>
          <t>Meta</t>
        </is>
      </c>
      <c r="B32" s="10">
        <f>'Value Bridge'!M79</f>
        <v/>
      </c>
      <c r="C32" s="10">
        <f>'Value Bridge'!F79+'Value Bridge'!J79</f>
        <v/>
      </c>
      <c r="D32" s="10">
        <f>'Value Bridge'!G79+'Value Bridge'!K79</f>
        <v/>
      </c>
      <c r="E32" s="35">
        <f>'Value Bridge'!L79</f>
        <v/>
      </c>
      <c r="F32" s="19">
        <f>'Value Bridge'!N79</f>
        <v/>
      </c>
      <c r="G32" s="10">
        <f>'Value Bridge'!P79</f>
        <v/>
      </c>
      <c r="H32" s="10">
        <f>'Value Bridge'!Q79</f>
        <v/>
      </c>
    </row>
    <row r="33">
      <c r="A33" s="9" t="inlineStr">
        <is>
          <t>Oracle</t>
        </is>
      </c>
      <c r="B33" s="10">
        <f>'Value Bridge'!M80</f>
        <v/>
      </c>
      <c r="C33" s="10">
        <f>'Value Bridge'!F80+'Value Bridge'!J80</f>
        <v/>
      </c>
      <c r="D33" s="10">
        <f>'Value Bridge'!G80+'Value Bridge'!K80</f>
        <v/>
      </c>
      <c r="E33" s="35">
        <f>'Value Bridge'!L80</f>
        <v/>
      </c>
      <c r="F33" s="19">
        <f>'Value Bridge'!N80</f>
        <v/>
      </c>
      <c r="G33" s="10">
        <f>'Value Bridge'!P80</f>
        <v/>
      </c>
      <c r="H33" s="10">
        <f>'Value Bridge'!Q80</f>
        <v/>
      </c>
    </row>
    <row r="34">
      <c r="A34" s="9" t="inlineStr">
        <is>
          <t>SpaceX</t>
        </is>
      </c>
      <c r="B34" s="10">
        <f>'Value Bridge'!M81</f>
        <v/>
      </c>
      <c r="C34" s="10">
        <f>'Value Bridge'!F81+'Value Bridge'!J81</f>
        <v/>
      </c>
      <c r="D34" s="10">
        <f>'Value Bridge'!G81+'Value Bridge'!K81</f>
        <v/>
      </c>
      <c r="E34" s="35">
        <f>'Value Bridge'!L81</f>
        <v/>
      </c>
      <c r="F34" s="19">
        <f>'Value Bridge'!N81</f>
        <v/>
      </c>
      <c r="G34" s="10">
        <f>'Value Bridge'!P81</f>
        <v/>
      </c>
      <c r="H34" s="10">
        <f>'Value Bridge'!Q81</f>
        <v/>
      </c>
    </row>
    <row r="35">
      <c r="A35" s="31" t="inlineStr">
        <is>
          <t>TOTAL (6)</t>
        </is>
      </c>
      <c r="B35" s="32">
        <f>'Value Bridge'!M82</f>
        <v/>
      </c>
      <c r="C35" s="32">
        <f>'Value Bridge'!F82+'Value Bridge'!J82</f>
        <v/>
      </c>
      <c r="D35" s="32">
        <f>'Value Bridge'!G82+'Value Bridge'!K82</f>
        <v/>
      </c>
      <c r="E35" s="32">
        <f>'Value Bridge'!L82</f>
        <v/>
      </c>
      <c r="F35" s="33">
        <f>'Value Bridge'!N82</f>
        <v/>
      </c>
      <c r="G35" s="32">
        <f>'Value Bridge'!P82</f>
        <v/>
      </c>
      <c r="H35" s="32">
        <f>'Value Bridge'!Q82</f>
        <v/>
      </c>
    </row>
    <row r="36"/>
    <row r="37" ht="20" customHeight="1">
      <c r="A37" s="5" t="inlineStr">
        <is>
          <t>WHY ~99% OF THE CHIP BILL — NOT "1,000×"</t>
        </is>
      </c>
      <c r="B37" s="6" t="n"/>
      <c r="C37" s="6" t="n"/>
      <c r="D37" s="6" t="n"/>
      <c r="E37" s="6" t="n"/>
      <c r="F37" s="6" t="n"/>
      <c r="G37" s="6" t="n"/>
      <c r="H37" s="6" t="n"/>
    </row>
    <row r="38" ht="63" customHeight="1">
      <c r="A38" s="3">
        <f>"Multiples don't multiply. A GPU is bought whole, so the inference fleet shrinks by whichever need falls least (×"&amp;TEXT(ServeGPULever,"#,##0")&amp;"), never by memory × tokens per GPU ("&amp;TEXT(MemoryLever,"#,##0")&amp;" × "&amp;TEXT(ServeComputeLever,"#,##0")&amp;"). Cutting a fleet "&amp;TEXT(ServeGPULever,"#,##0")&amp;"× already removes over 99% of it; bigger multiples only move the last fraction of a percent. So the dollars are set by how much these firms spend on chips — which is why this workbook reports dollars."</f>
        <v/>
      </c>
    </row>
    <row r="39"/>
    <row r="40" ht="20" customHeight="1">
      <c r="A40" s="5" t="inlineStr">
        <is>
          <t>HOW TO READ THIS WORKBOOK</t>
        </is>
      </c>
      <c r="B40" s="6" t="n"/>
      <c r="C40" s="6" t="n"/>
      <c r="D40" s="6" t="n"/>
      <c r="E40" s="6" t="n"/>
      <c r="F40" s="6" t="n"/>
      <c r="G40" s="6" t="n"/>
      <c r="H40" s="6" t="n"/>
    </row>
    <row r="41" ht="33" customHeight="1">
      <c r="A41" s="22" t="inlineStr">
        <is>
          <t>H1–H6  Helarctos lever</t>
        </is>
      </c>
      <c r="B41" s="3" t="inlineStr">
        <is>
          <t>One of the six things the Helarctos architecture changes. Every other input is market, company or modelling data.</t>
        </is>
      </c>
    </row>
    <row r="42" ht="18" customHeight="1">
      <c r="A42" s="36" t="inlineStr">
        <is>
          <t>Assumption</t>
        </is>
      </c>
      <c r="B42" s="3" t="inlineStr">
        <is>
          <t>A market, company or modelling assumption you can edit (not about Helarctos).</t>
        </is>
      </c>
    </row>
    <row r="43" ht="18" customHeight="1">
      <c r="A43" s="37" t="inlineStr">
        <is>
          <t>Disclosed data</t>
        </is>
      </c>
      <c r="B43" s="3" t="inlineStr">
        <is>
          <t>From company filings or market data.</t>
        </is>
      </c>
    </row>
    <row r="44" ht="18" customHeight="1">
      <c r="A44" s="38" t="inlineStr">
        <is>
          <t>Formula</t>
        </is>
      </c>
      <c r="B44" s="3" t="inlineStr">
        <is>
          <t>Calculated live — don't overtype.</t>
        </is>
      </c>
    </row>
    <row r="45" ht="33" customHeight="1">
      <c r="A45" s="39" t="inlineStr">
        <is>
          <t>◆ Differs by scenario</t>
        </is>
      </c>
      <c r="B45" s="3" t="inlineStr">
        <is>
          <t>The only cells that change between Current kernels and Optimized kernels (switch: Levers C4).</t>
        </is>
      </c>
    </row>
    <row r="46" ht="18" customHeight="1">
      <c r="A46" s="40" t="inlineStr">
        <is>
          <t>★ High impact</t>
        </is>
      </c>
      <c r="B46" s="3" t="inlineStr">
        <is>
          <t>Moves the FY2026 saving by $10B or more (What Matters tab).</t>
        </is>
      </c>
    </row>
    <row r="47"/>
    <row r="48" ht="18" customHeight="1">
      <c r="A48" s="41" t="inlineStr">
        <is>
          <t>Summary</t>
        </is>
      </c>
      <c r="B48" s="3" t="inlineStr">
        <is>
          <t>This page: the headline, where the saving comes from, and by company.</t>
        </is>
      </c>
    </row>
    <row r="49" ht="18" customHeight="1">
      <c r="A49" s="41" t="inlineStr">
        <is>
          <t>Value Bridge</t>
        </is>
      </c>
      <c r="B49" s="3" t="inlineStr">
        <is>
          <t>Step by step from AI spend to the saving; the levers switched on one at a time.</t>
        </is>
      </c>
    </row>
    <row r="50" ht="33" customHeight="1">
      <c r="A50" s="41" t="inlineStr">
        <is>
          <t>Levers</t>
        </is>
      </c>
      <c r="B50" s="3" t="inlineStr">
        <is>
          <t>The six Helarctos levers, how sure we are of each, the scenario switch, and the market &amp; company data the front tabs use.</t>
        </is>
      </c>
    </row>
    <row r="51" ht="18" customHeight="1">
      <c r="A51" s="41" t="inlineStr">
        <is>
          <t>What Matters</t>
        </is>
      </c>
      <c r="B51" s="3" t="inlineStr">
        <is>
          <t>Which inputs move the answer and by how much — Helarctos levers vs market data.</t>
        </is>
      </c>
    </row>
    <row r="52" ht="33" customHeight="1">
      <c r="A52" s="41" t="inlineStr">
        <is>
          <t>Microsoft / Alphabet / Amazon / Meta / Oracle / SpaceX</t>
        </is>
      </c>
      <c r="B52" s="3" t="inlineStr">
        <is>
          <t>Each company's capex build from its filings.</t>
        </is>
      </c>
    </row>
    <row r="53" ht="33" customHeight="1">
      <c r="A53" s="41" t="inlineStr">
        <is>
          <t>Technical appendix</t>
        </is>
      </c>
      <c r="B53" s="3" t="inlineStr">
        <is>
          <t>Totals, Inputs, Sensitivity, CostLadder, ServingTraining, Evidence, Methodology — the engineering ledger behind the levers.</t>
        </is>
      </c>
    </row>
    <row r="54"/>
    <row r="55" ht="18" customHeight="1">
      <c r="A55" s="21" t="inlineStr">
        <is>
          <t>Cash basis. FY2026 = company guidance. Only AI chips and their power are counted; buildings and power infrastructure are upside. Not investment advice.</t>
        </is>
      </c>
    </row>
  </sheetData>
  <mergeCells count="26">
    <mergeCell ref="B49:H49"/>
    <mergeCell ref="E16:H16"/>
    <mergeCell ref="E25:H25"/>
    <mergeCell ref="B51:H51"/>
    <mergeCell ref="B45:H45"/>
    <mergeCell ref="E22:H22"/>
    <mergeCell ref="B50:H50"/>
    <mergeCell ref="E18:H18"/>
    <mergeCell ref="B41:H41"/>
    <mergeCell ref="E21:H21"/>
    <mergeCell ref="E24:H24"/>
    <mergeCell ref="B46:H46"/>
    <mergeCell ref="A3:H3"/>
    <mergeCell ref="E17:H17"/>
    <mergeCell ref="E23:H23"/>
    <mergeCell ref="A55:H55"/>
    <mergeCell ref="B52:H52"/>
    <mergeCell ref="A2:H2"/>
    <mergeCell ref="B43:H43"/>
    <mergeCell ref="E20:H20"/>
    <mergeCell ref="B48:H48"/>
    <mergeCell ref="B42:H42"/>
    <mergeCell ref="E19:H19"/>
    <mergeCell ref="A38:H38"/>
    <mergeCell ref="B44:H44"/>
    <mergeCell ref="B53:H5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Q9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2" customWidth="1" min="3" max="3"/>
    <col width="14" customWidth="1" min="4" max="4"/>
    <col width="14" customWidth="1" min="5" max="5"/>
    <col width="14" customWidth="1" min="6" max="6"/>
    <col width="14" customWidth="1" min="7" max="7"/>
    <col width="14" customWidth="1" min="8" max="8"/>
    <col width="14" customWidth="1" min="9" max="9"/>
    <col width="13" customWidth="1" min="10" max="10"/>
    <col width="13" customWidth="1" min="11" max="11"/>
    <col width="13" customWidth="1" min="12" max="12"/>
    <col width="14" customWidth="1" min="13" max="13"/>
    <col width="11" customWidth="1" min="14" max="14"/>
    <col width="11" customWidth="1" min="15" max="15"/>
    <col width="12" customWidth="1" min="16" max="16"/>
    <col width="14" customWidth="1" min="17" max="17"/>
  </cols>
  <sheetData>
    <row r="1" ht="30" customHeight="1">
      <c r="A1" s="1" t="inlineStr">
        <is>
          <t>VALUE BRIDGE — from AI spend to the Helarctos saving, step by step (FY2026)</t>
        </is>
      </c>
      <c r="B1" s="2" t="n"/>
      <c r="C1" s="2" t="n"/>
      <c r="D1" s="2" t="n"/>
      <c r="E1" s="2" t="n"/>
      <c r="F1" s="2" t="n"/>
      <c r="G1" s="2" t="n"/>
      <c r="H1" s="2" t="n"/>
      <c r="I1" s="2" t="n"/>
    </row>
    <row r="2" ht="18" customHeight="1">
      <c r="A2" s="3" t="inlineStr">
        <is>
          <t>Read top to bottom. Teal rows are the Helarctos levers (edit them on the Levers and Inputs tabs); blue cells are live formulas.</t>
        </is>
      </c>
    </row>
    <row r="3"/>
    <row r="4" ht="20" customHeight="1">
      <c r="A4" s="5" t="inlineStr">
        <is>
          <t>STEP 1 — What the six companies spend on AI this year</t>
        </is>
      </c>
      <c r="B4" s="6" t="n"/>
      <c r="C4" s="6" t="n"/>
      <c r="D4" s="6" t="n"/>
      <c r="E4" s="6" t="n"/>
      <c r="F4" s="6" t="n"/>
      <c r="G4" s="6" t="n"/>
      <c r="H4" s="6" t="n"/>
      <c r="I4" s="6" t="n"/>
    </row>
    <row r="5" ht="18" customHeight="1">
      <c r="A5" s="3" t="inlineStr">
        <is>
          <t>Total capex, all purposes</t>
        </is>
      </c>
      <c r="B5" s="10">
        <f>'Microsoft'!$C$3+'Alphabet'!$C$3+'Amazon'!$C$3+'Meta'!$C$3+'Oracle'!$C$3+'SpaceX'!$C$3</f>
        <v/>
      </c>
      <c r="D5" s="21" t="inlineStr">
        <is>
          <t>Company filings and guidance (company tabs, row 3).</t>
        </is>
      </c>
    </row>
    <row r="6" ht="18" customHeight="1">
      <c r="A6" s="3" t="inlineStr">
        <is>
          <t>AI data-centre capex</t>
        </is>
      </c>
      <c r="B6" s="10">
        <f>'Microsoft'!$C$10+'Alphabet'!$C$10+'Amazon'!$C$10+'Meta'!$C$10+'Oracle'!$C$10+'SpaceX'!$C$10</f>
        <v/>
      </c>
      <c r="D6" s="21" t="inlineStr">
        <is>
          <t>Strips non-data-centre spend (e.g. Amazon retail logistics).</t>
        </is>
      </c>
    </row>
    <row r="7" ht="18" customHeight="1">
      <c r="A7" s="41" t="inlineStr">
        <is>
          <t>…of which AI chips (GPUs, TPUs)</t>
        </is>
      </c>
      <c r="B7" s="35">
        <f>B82</f>
        <v/>
      </c>
      <c r="D7" s="21" t="inlineStr">
        <is>
          <t>The part Helarctos shrinks. Buildings, power and networking are NOT counted (upside).</t>
        </is>
      </c>
    </row>
    <row r="8" ht="18" customHeight="1">
      <c r="A8" s="3" t="inlineStr">
        <is>
          <t>Power &amp; operations for those chips, per year</t>
        </is>
      </c>
      <c r="B8" s="42">
        <f>I82</f>
        <v/>
      </c>
    </row>
    <row r="9" ht="18" customHeight="1">
      <c r="A9" s="3" t="inlineStr">
        <is>
          <t>AI revenue</t>
        </is>
      </c>
      <c r="B9" s="10">
        <f>O82</f>
        <v/>
      </c>
      <c r="D9" s="21" t="inlineStr">
        <is>
          <t>Disclosed run-rates (Microsoft, Amazon) or estimates (others).</t>
        </is>
      </c>
    </row>
    <row r="10" ht="18" customHeight="1">
      <c r="A10" s="41" t="inlineStr">
        <is>
          <t>Net AI cash result today</t>
        </is>
      </c>
      <c r="B10" s="35">
        <f>P82</f>
        <v/>
      </c>
      <c r="D10" s="21" t="inlineStr">
        <is>
          <t>AI revenue − AI capex − power. All six are losing money on AI today.</t>
        </is>
      </c>
    </row>
    <row r="11"/>
    <row r="12" ht="20" customHeight="1">
      <c r="A12" s="5" t="inlineStr">
        <is>
          <t>STEP 2 — Split the chip fleet by what it does</t>
        </is>
      </c>
      <c r="B12" s="6" t="n"/>
      <c r="C12" s="6" t="n"/>
      <c r="D12" s="6" t="n"/>
      <c r="E12" s="6" t="n"/>
      <c r="F12" s="6" t="n"/>
      <c r="G12" s="6" t="n"/>
      <c r="H12" s="6" t="n"/>
      <c r="I12" s="6" t="n"/>
    </row>
    <row r="13" ht="18" customHeight="1">
      <c r="A13" s="3" t="inlineStr">
        <is>
          <t>Training fleet — builds new models</t>
        </is>
      </c>
      <c r="B13" s="10">
        <f>D82</f>
        <v/>
      </c>
      <c r="C13" s="19">
        <f>B13/B7</f>
        <v/>
      </c>
      <c r="D13" s="21" t="inlineStr">
        <is>
          <t>Per-company estimates, 25–55% (Levers tab); chip-weighted average shown.</t>
        </is>
      </c>
    </row>
    <row r="14" ht="18" customHeight="1">
      <c r="A14" s="3" t="inlineStr">
        <is>
          <t>Inference fleet — answers users</t>
        </is>
      </c>
      <c r="B14" s="10">
        <f>E82</f>
        <v/>
      </c>
      <c r="C14" s="19">
        <f>B14/B7</f>
        <v/>
      </c>
    </row>
    <row r="15"/>
    <row r="16" ht="20" customHeight="1">
      <c r="A16" s="5" t="inlineStr">
        <is>
          <t>STEP 3 — TRAINING: a smaller model needs fewer GPU-hours → smaller training clusters</t>
        </is>
      </c>
      <c r="B16" s="6" t="n"/>
      <c r="C16" s="6" t="n"/>
      <c r="D16" s="6" t="n"/>
      <c r="E16" s="6" t="n"/>
      <c r="F16" s="6" t="n"/>
      <c r="G16" s="6" t="n"/>
      <c r="H16" s="6" t="n"/>
      <c r="I16" s="6" t="n"/>
    </row>
    <row r="17" ht="18" customHeight="1">
      <c r="A17" s="3" t="inlineStr">
        <is>
          <t>Training fleet capex today</t>
        </is>
      </c>
      <c r="B17" s="10">
        <f>B13</f>
        <v/>
      </c>
    </row>
    <row r="18" ht="18" customHeight="1">
      <c r="A18" s="22" t="inlineStr">
        <is>
          <t>H1 · Smaller model for the same quality ★</t>
        </is>
      </c>
      <c r="C18" s="24">
        <f>SmallerModel</f>
        <v/>
      </c>
      <c r="D18" s="21" t="inlineStr">
        <is>
          <t>Same quality with a fraction of the parameters (projected).</t>
        </is>
      </c>
    </row>
    <row r="19" ht="18" customHeight="1">
      <c r="A19" s="22" t="inlineStr">
        <is>
          <t>H2 · Fewer training tokens</t>
        </is>
      </c>
      <c r="C19" s="25">
        <f>FewerTokens</f>
        <v/>
      </c>
      <c r="D19" s="21" t="inlineStr">
        <is>
          <t>A smaller model needs proportionally fewer training tokens.</t>
        </is>
      </c>
    </row>
    <row r="20" ht="33" customHeight="1">
      <c r="A20" s="22" t="inlineStr">
        <is>
          <t>H3 · Training speed per token (same model size) ◆</t>
        </is>
      </c>
      <c r="C20" s="26">
        <f>TrainSpeed</f>
        <v/>
      </c>
      <c r="D20" s="21" t="inlineStr">
        <is>
          <t>About the same speed per token at the same size — no credit taken.</t>
        </is>
      </c>
    </row>
    <row r="21" ht="18" customHeight="1">
      <c r="A21" s="43" t="inlineStr">
        <is>
          <t>GPU-hours per training run fall by</t>
        </is>
      </c>
      <c r="C21" s="20">
        <f>TrainLever</f>
        <v/>
      </c>
      <c r="D21" s="21" t="inlineStr">
        <is>
          <t>H1 × H2 × H3</t>
        </is>
      </c>
    </row>
    <row r="22" ht="18" customHeight="1">
      <c r="A22" s="3" t="inlineStr">
        <is>
          <t>Training fleet needed with Helarctos</t>
        </is>
      </c>
      <c r="B22" s="10">
        <f>B17/C21</f>
        <v/>
      </c>
    </row>
    <row r="23" ht="18" customHeight="1">
      <c r="A23" s="3" t="inlineStr">
        <is>
          <t>Training capex avoided</t>
        </is>
      </c>
      <c r="B23" s="10">
        <f>B17-B22</f>
        <v/>
      </c>
    </row>
    <row r="24" ht="33" customHeight="1">
      <c r="A24" s="3" t="inlineStr">
        <is>
          <t>+ power &amp; operations those GPUs would have drawn</t>
        </is>
      </c>
      <c r="B24" s="42">
        <f>J82</f>
        <v/>
      </c>
      <c r="D24" s="21" t="inlineStr">
        <is>
          <t>Power scales with the fleet.</t>
        </is>
      </c>
    </row>
    <row r="25" ht="33" customHeight="1">
      <c r="A25" s="41" t="inlineStr">
        <is>
          <t>TRAINING SAVING (capex + power)</t>
        </is>
      </c>
      <c r="B25" s="12">
        <f>B23+B24</f>
        <v/>
      </c>
      <c r="D25" s="21">
        <f>"Labs size training clusters to the GPU-hours their runs need: ~"&amp;TEXT(TrainLever,"0")&amp;"× fewer GPU-hours means a cluster ~"&amp;TEXT(TrainLever,"0")&amp;"× smaller for the same programme."</f>
        <v/>
      </c>
    </row>
    <row r="26"/>
    <row r="27" ht="20" customHeight="1">
      <c r="A27" s="5" t="inlineStr">
        <is>
          <t>STEP 4 — INFERENCE: small memory → more conversations per GPU, each decoded faster → fewer GPUs</t>
        </is>
      </c>
      <c r="B27" s="6" t="n"/>
      <c r="C27" s="6" t="n"/>
      <c r="D27" s="6" t="n"/>
      <c r="E27" s="6" t="n"/>
      <c r="F27" s="6" t="n"/>
      <c r="G27" s="6" t="n"/>
      <c r="H27" s="6" t="n"/>
      <c r="I27" s="6" t="n"/>
    </row>
    <row r="28" ht="18" customHeight="1">
      <c r="A28" s="3" t="inlineStr">
        <is>
          <t>Inference fleet capex today</t>
        </is>
      </c>
      <c r="B28" s="10">
        <f>B14</f>
        <v/>
      </c>
    </row>
    <row r="29" ht="18" customHeight="1">
      <c r="A29" s="22" t="inlineStr">
        <is>
          <t>H4 · Memory per live conversation</t>
        </is>
      </c>
      <c r="C29" s="28">
        <f>MemoryLever</f>
        <v/>
      </c>
      <c r="D29" s="21" t="inlineStr">
        <is>
          <t>Fixed-size state instead of a memory that grows with every token.</t>
        </is>
      </c>
    </row>
    <row r="30" ht="18" customHeight="1">
      <c r="A30" s="22" t="inlineStr">
        <is>
          <t>H5 · More conversations per GPU</t>
        </is>
      </c>
      <c r="C30" s="29">
        <f>MoreConversations</f>
        <v/>
      </c>
      <c r="D30" s="21" t="inlineStr">
        <is>
          <t>64 resident 262k-token conversations per GPU where a transformer fits 1.</t>
        </is>
      </c>
    </row>
    <row r="31" ht="18" customHeight="1">
      <c r="A31" s="22" t="inlineStr">
        <is>
          <t>H6 · Faster decode per token</t>
        </is>
      </c>
      <c r="C31" s="30">
        <f>FasterDecode</f>
        <v/>
      </c>
      <c r="D31" s="21" t="inlineStr">
        <is>
          <t>Each next token in 2.5 ms instead of ~15.6 ms (estimate).</t>
        </is>
      </c>
    </row>
    <row r="32" ht="33" customHeight="1">
      <c r="A32" s="44" t="inlineStr">
        <is>
          <t>Tokens per GPU, H5 × H6 with prompt processing added back</t>
        </is>
      </c>
      <c r="C32" s="29">
        <f>ServeComputeLever</f>
        <v/>
      </c>
      <c r="D32" s="21" t="inlineStr">
        <is>
          <t>Prompts are ~0.2% of a transformer's time at 262k (supporting prompt-processing speed, Levers tab).</t>
        </is>
      </c>
    </row>
    <row r="33" ht="33" customHeight="1">
      <c r="A33" s="41" t="inlineStr">
        <is>
          <t>Inference GPUs needed fall by (the smaller of memory and tokens per GPU)</t>
        </is>
      </c>
      <c r="C33" s="27">
        <f>ServeGPULever</f>
        <v/>
      </c>
      <c r="D33" s="21" t="inlineStr">
        <is>
          <t>A GPU is bought whole — memory and compute together — so the fleet covers whichever runs out first. Here tokens per GPU binds, so faster decode (H6) counts in the dollars.</t>
        </is>
      </c>
    </row>
    <row r="34">
      <c r="A34" s="44" t="inlineStr">
        <is>
          <t>Inference fleet needed with Helarctos</t>
        </is>
      </c>
      <c r="B34" s="42">
        <f>B28/C33</f>
        <v/>
      </c>
    </row>
    <row r="35" ht="18" customHeight="1">
      <c r="A35" s="3" t="inlineStr">
        <is>
          <t>Inference capex avoided</t>
        </is>
      </c>
      <c r="B35" s="10">
        <f>B28-B34</f>
        <v/>
      </c>
    </row>
    <row r="36" ht="33" customHeight="1">
      <c r="A36" s="3" t="inlineStr">
        <is>
          <t>+ power &amp; operations those GPUs would have drawn</t>
        </is>
      </c>
      <c r="B36" s="42">
        <f>K82</f>
        <v/>
      </c>
      <c r="D36" s="21" t="inlineStr">
        <is>
          <t>Power scales with the fleet.</t>
        </is>
      </c>
    </row>
    <row r="37" ht="18" customHeight="1">
      <c r="A37" s="41" t="inlineStr">
        <is>
          <t>INFERENCE SAVING (capex + power)</t>
        </is>
      </c>
      <c r="B37" s="12">
        <f>B35+B36</f>
        <v/>
      </c>
    </row>
    <row r="38"/>
    <row r="39" ht="20" customHeight="1">
      <c r="A39" s="5" t="inlineStr">
        <is>
          <t>RESULT — FY2026</t>
        </is>
      </c>
      <c r="B39" s="6" t="n"/>
      <c r="C39" s="6" t="n"/>
      <c r="D39" s="6" t="n"/>
      <c r="E39" s="6" t="n"/>
      <c r="F39" s="6" t="n"/>
      <c r="G39" s="6" t="n"/>
      <c r="H39" s="6" t="n"/>
      <c r="I39" s="6" t="n"/>
    </row>
    <row r="40" ht="18" customHeight="1">
      <c r="A40" s="3" t="inlineStr">
        <is>
          <t>Training (capex + power)</t>
        </is>
      </c>
      <c r="B40" s="10">
        <f>B25</f>
        <v/>
      </c>
    </row>
    <row r="41" ht="18" customHeight="1">
      <c r="A41" s="3" t="inlineStr">
        <is>
          <t>Inference (capex + power)</t>
        </is>
      </c>
      <c r="B41" s="10">
        <f>B37</f>
        <v/>
      </c>
    </row>
    <row r="42" ht="18" customHeight="1">
      <c r="A42" s="41" t="inlineStr">
        <is>
          <t>SPEND HELARCTOS MAKES UNNECESSARY, per year</t>
        </is>
      </c>
      <c r="B42" s="12">
        <f>B40+B41</f>
        <v/>
      </c>
      <c r="D42" s="21" t="inlineStr">
        <is>
          <t>Ties to the detail table total below.</t>
        </is>
      </c>
    </row>
    <row r="43" ht="18" customHeight="1">
      <c r="A43" s="41" t="inlineStr">
        <is>
          <t>…as a share of all AI spend</t>
        </is>
      </c>
      <c r="B43" s="45">
        <f>B42/M82</f>
        <v/>
      </c>
    </row>
    <row r="44" ht="18" customHeight="1">
      <c r="A44" s="3" t="inlineStr">
        <is>
          <t>…as a share of the AI-chip bill</t>
        </is>
      </c>
      <c r="B44" s="19">
        <f>(B23+B35)/B7</f>
        <v/>
      </c>
    </row>
    <row r="45" ht="18" customHeight="1">
      <c r="A45" s="41" t="inlineStr">
        <is>
          <t>Net AI cash result with Helarctos</t>
        </is>
      </c>
      <c r="B45" s="35">
        <f>B10+B42</f>
        <v/>
      </c>
    </row>
    <row r="46" ht="33" customHeight="1">
      <c r="A46" s="3" t="inlineStr">
        <is>
          <t>Value of the yearly saving, capitalized (÷ discount rate)</t>
        </is>
      </c>
      <c r="B46" s="15">
        <f>B42/Inputs!$B$6/1000</f>
        <v/>
      </c>
      <c r="D46" s="21" t="inlineStr">
        <is>
          <t>Simple perpetuity at the Inputs discount rate (6%).</t>
        </is>
      </c>
    </row>
    <row r="47"/>
    <row r="48" ht="20" customHeight="1">
      <c r="A48" s="5" t="inlineStr">
        <is>
          <t>SWITCH THE HELARCTOS LEVERS ON ONE AT A TIME (FY2026)</t>
        </is>
      </c>
      <c r="B48" s="6" t="n"/>
      <c r="C48" s="6" t="n"/>
      <c r="D48" s="6" t="n"/>
      <c r="E48" s="6" t="n"/>
      <c r="F48" s="6" t="n"/>
      <c r="G48" s="6" t="n"/>
      <c r="H48" s="6" t="n"/>
      <c r="I48" s="6" t="n"/>
    </row>
    <row r="49" ht="48" customHeight="1">
      <c r="A49" s="7" t="inlineStr">
        <is>
          <t>Step</t>
        </is>
      </c>
      <c r="B49" s="8" t="inlineStr">
        <is>
          <t>Training GPU-hours fall by</t>
        </is>
      </c>
      <c r="C49" s="8" t="inlineStr">
        <is>
          <t>Inference memory falls by</t>
        </is>
      </c>
      <c r="D49" s="8" t="inlineStr">
        <is>
          <t>Inference compute falls by</t>
        </is>
      </c>
      <c r="E49" s="8" t="inlineStr">
        <is>
          <t>Chip fleet cut</t>
        </is>
      </c>
      <c r="F49" s="8" t="inlineStr">
        <is>
          <t>Spend cut, $B/yr</t>
        </is>
      </c>
      <c r="G49" s="8" t="inlineStr">
        <is>
          <t>Added by this step</t>
        </is>
      </c>
    </row>
    <row r="50" ht="18" customHeight="1">
      <c r="A50" s="14" t="inlineStr">
        <is>
          <t>Today's transformer fleet</t>
        </is>
      </c>
      <c r="B50" s="30" t="n">
        <v>1</v>
      </c>
      <c r="C50" s="28" t="n">
        <v>1</v>
      </c>
      <c r="D50" s="29" t="n">
        <v>1</v>
      </c>
      <c r="E50" s="46">
        <f>(D82*(1-1/B50)+E82*(1-1/MIN(C50,D50)))/B82</f>
        <v/>
      </c>
      <c r="F50" s="35">
        <f>E50*(B82+I82)</f>
        <v/>
      </c>
      <c r="G50" s="47">
        <f>F50</f>
        <v/>
      </c>
    </row>
    <row r="51" ht="33" customHeight="1">
      <c r="A51" s="14" t="inlineStr">
        <is>
          <t>Smaller model trained on fewer tokens — training (H1–H3)</t>
        </is>
      </c>
      <c r="B51" s="30">
        <f>TrainLever</f>
        <v/>
      </c>
      <c r="C51" s="28" t="n">
        <v>1</v>
      </c>
      <c r="D51" s="29" t="n">
        <v>1</v>
      </c>
      <c r="E51" s="46">
        <f>(D82*(1-1/B51)+E82*(1-1/MIN(C51,D51)))/B82</f>
        <v/>
      </c>
      <c r="F51" s="35">
        <f>E51*(B82+I82)</f>
        <v/>
      </c>
      <c r="G51" s="47">
        <f>F51-F50</f>
        <v/>
      </c>
    </row>
    <row r="52" ht="33" customHeight="1">
      <c r="A52" s="48" t="inlineStr">
        <is>
          <t>+ Fixed-size memory, more conversations per GPU, faster decode — inference (H4–H6)</t>
        </is>
      </c>
      <c r="B52" s="30">
        <f>TrainLever</f>
        <v/>
      </c>
      <c r="C52" s="28">
        <f>MemoryLever</f>
        <v/>
      </c>
      <c r="D52" s="29">
        <f>ServeComputeLever</f>
        <v/>
      </c>
      <c r="E52" s="46">
        <f>(D82*(1-1/B52)+E82*(1-1/MIN(C52,D52)))/B82</f>
        <v/>
      </c>
      <c r="F52" s="35">
        <f>E52*(B82+I82)</f>
        <v/>
      </c>
      <c r="G52" s="47">
        <f>F52-F51</f>
        <v/>
      </c>
    </row>
    <row r="53" ht="48" customHeight="1">
      <c r="A53" s="21" t="inlineStr">
        <is>
          <t>Training savings come from the smaller model (fewer parameters AND fewer tokens compound). Inference savings come from fixed-size memory, which lets each GPU hold many more long conversations, each decoded faster. Each fleet then shrinks by ~94–99%: bigger multiples can't add much, because a cost can only fall to zero once. That is why this workbook reports dollars, not multiples.</t>
        </is>
      </c>
    </row>
    <row r="54"/>
    <row r="55"/>
    <row r="56"/>
    <row r="57"/>
    <row r="58"/>
    <row r="59"/>
    <row r="60"/>
    <row r="61"/>
    <row r="62"/>
    <row r="63"/>
    <row r="64"/>
    <row r="65"/>
    <row r="66"/>
    <row r="67"/>
    <row r="68"/>
    <row r="69" ht="20" customHeight="1">
      <c r="A69" s="5" t="inlineStr">
        <is>
          <t>CROSS-CHECK against the technical Totals tab</t>
        </is>
      </c>
      <c r="B69" s="6" t="n"/>
      <c r="C69" s="6" t="n"/>
      <c r="D69" s="6" t="n"/>
      <c r="E69" s="6" t="n"/>
      <c r="F69" s="6" t="n"/>
      <c r="G69" s="6" t="n"/>
      <c r="H69" s="6" t="n"/>
      <c r="I69" s="6" t="n"/>
    </row>
    <row r="70" ht="33" customHeight="1">
      <c r="A70" s="3" t="inlineStr">
        <is>
          <t>Totals tab, FY2026 spend cut (memory and compute priced separately)</t>
        </is>
      </c>
      <c r="B70" s="10">
        <f>Totals!$F$13</f>
        <v/>
      </c>
    </row>
    <row r="71" ht="33" customHeight="1">
      <c r="A71" s="3" t="inlineStr">
        <is>
          <t>This bridge (training on GPU-hours, inference on whole GPUs)</t>
        </is>
      </c>
      <c r="B71" s="10">
        <f>B42</f>
        <v/>
      </c>
    </row>
    <row r="72" ht="33" customHeight="1">
      <c r="A72" s="3" t="inlineStr">
        <is>
          <t>Difference</t>
        </is>
      </c>
      <c r="B72" s="10">
        <f>B71-B70</f>
        <v/>
      </c>
      <c r="D72" s="21" t="inlineStr">
        <is>
          <t>Small by design: both remove ~99% of the chip bill. Totals also honours the Inputs datacenter-scaling toggle (default 0); this bridge counts chips only.</t>
        </is>
      </c>
    </row>
    <row r="73"/>
    <row r="74" ht="20" customHeight="1">
      <c r="A74" s="5" t="inlineStr">
        <is>
          <t>DETAIL BY COMPANY — FY2026 (estimate), $B. The engine behind every number above.</t>
        </is>
      </c>
      <c r="B74" s="6" t="n"/>
      <c r="C74" s="6" t="n"/>
      <c r="D74" s="6" t="n"/>
      <c r="E74" s="6" t="n"/>
      <c r="F74" s="6" t="n"/>
      <c r="G74" s="6" t="n"/>
      <c r="H74" s="6" t="n"/>
      <c r="I74" s="6" t="n"/>
      <c r="J74" s="6" t="n"/>
      <c r="K74" s="6" t="n"/>
      <c r="L74" s="6" t="n"/>
      <c r="M74" s="6" t="n"/>
      <c r="N74" s="6" t="n"/>
      <c r="O74" s="6" t="n"/>
      <c r="P74" s="6" t="n"/>
      <c r="Q74" s="6" t="n"/>
    </row>
    <row r="75" ht="48" customHeight="1">
      <c r="A75" s="7" t="inlineStr">
        <is>
          <t>Company</t>
        </is>
      </c>
      <c r="B75" s="8" t="inlineStr">
        <is>
          <t>AI-chip capex</t>
        </is>
      </c>
      <c r="C75" s="8" t="inlineStr">
        <is>
          <t>Training share</t>
        </is>
      </c>
      <c r="D75" s="8" t="inlineStr">
        <is>
          <t>Training fleet</t>
        </is>
      </c>
      <c r="E75" s="8" t="inlineStr">
        <is>
          <t>Inference fleet</t>
        </is>
      </c>
      <c r="F75" s="8" t="inlineStr">
        <is>
          <t>Training capex avoided</t>
        </is>
      </c>
      <c r="G75" s="8" t="inlineStr">
        <is>
          <t>Inference capex avoided</t>
        </is>
      </c>
      <c r="H75" s="8" t="inlineStr">
        <is>
          <t>Chip capex avoided</t>
        </is>
      </c>
      <c r="I75" s="8" t="inlineStr">
        <is>
          <t>Power &amp; ops today</t>
        </is>
      </c>
      <c r="J75" s="8" t="inlineStr">
        <is>
          <t>Training power saved</t>
        </is>
      </c>
      <c r="K75" s="8" t="inlineStr">
        <is>
          <t>Inference power saved</t>
        </is>
      </c>
      <c r="L75" s="8" t="inlineStr">
        <is>
          <t>TOTAL saving</t>
        </is>
      </c>
      <c r="M75" s="8" t="inlineStr">
        <is>
          <t>AI spend (capex + power)</t>
        </is>
      </c>
      <c r="N75" s="8" t="inlineStr">
        <is>
          <t>% of AI spend cut</t>
        </is>
      </c>
      <c r="O75" s="8" t="inlineStr">
        <is>
          <t>AI revenue</t>
        </is>
      </c>
      <c r="P75" s="8" t="inlineStr">
        <is>
          <t>Net AI today</t>
        </is>
      </c>
      <c r="Q75" s="8" t="inlineStr">
        <is>
          <t>Net AI with Helarctos</t>
        </is>
      </c>
    </row>
    <row r="76">
      <c r="A76" s="9" t="inlineStr">
        <is>
          <t>Microsoft</t>
        </is>
      </c>
      <c r="B76" s="10">
        <f>'Microsoft'!$C$12</f>
        <v/>
      </c>
      <c r="C76" s="19">
        <f>Levers!$C$37</f>
        <v/>
      </c>
      <c r="D76" s="10">
        <f>B76*C76</f>
        <v/>
      </c>
      <c r="E76" s="10">
        <f>B76-D76</f>
        <v/>
      </c>
      <c r="F76" s="10">
        <f>D76*(1-1/TrainLever)</f>
        <v/>
      </c>
      <c r="G76" s="10">
        <f>E76*(1-1/ServeGPULever)</f>
        <v/>
      </c>
      <c r="H76" s="10">
        <f>F76+G76</f>
        <v/>
      </c>
      <c r="I76" s="42">
        <f>'Microsoft'!$C$34</f>
        <v/>
      </c>
      <c r="J76" s="42">
        <f>IF(B76&gt;0,I76*F76/B76,0)</f>
        <v/>
      </c>
      <c r="K76" s="42">
        <f>IF(B76&gt;0,I76*G76/B76,0)</f>
        <v/>
      </c>
      <c r="L76" s="35">
        <f>H76+J76+K76</f>
        <v/>
      </c>
      <c r="M76" s="10">
        <f>'Microsoft'!$C$10+I76</f>
        <v/>
      </c>
      <c r="N76" s="19">
        <f>L76/M76</f>
        <v/>
      </c>
      <c r="O76" s="10">
        <f>'Microsoft'!$C$32</f>
        <v/>
      </c>
      <c r="P76" s="10">
        <f>O76-M76</f>
        <v/>
      </c>
      <c r="Q76" s="35">
        <f>P76+L76</f>
        <v/>
      </c>
    </row>
    <row r="77">
      <c r="A77" s="9" t="inlineStr">
        <is>
          <t>Alphabet</t>
        </is>
      </c>
      <c r="B77" s="10">
        <f>'Alphabet'!$C$12</f>
        <v/>
      </c>
      <c r="C77" s="19">
        <f>Levers!$C$38</f>
        <v/>
      </c>
      <c r="D77" s="10">
        <f>B77*C77</f>
        <v/>
      </c>
      <c r="E77" s="10">
        <f>B77-D77</f>
        <v/>
      </c>
      <c r="F77" s="10">
        <f>D77*(1-1/TrainLever)</f>
        <v/>
      </c>
      <c r="G77" s="10">
        <f>E77*(1-1/ServeGPULever)</f>
        <v/>
      </c>
      <c r="H77" s="10">
        <f>F77+G77</f>
        <v/>
      </c>
      <c r="I77" s="42">
        <f>'Alphabet'!$C$34</f>
        <v/>
      </c>
      <c r="J77" s="42">
        <f>IF(B77&gt;0,I77*F77/B77,0)</f>
        <v/>
      </c>
      <c r="K77" s="42">
        <f>IF(B77&gt;0,I77*G77/B77,0)</f>
        <v/>
      </c>
      <c r="L77" s="35">
        <f>H77+J77+K77</f>
        <v/>
      </c>
      <c r="M77" s="10">
        <f>'Alphabet'!$C$10+I77</f>
        <v/>
      </c>
      <c r="N77" s="19">
        <f>L77/M77</f>
        <v/>
      </c>
      <c r="O77" s="10">
        <f>'Alphabet'!$C$32</f>
        <v/>
      </c>
      <c r="P77" s="10">
        <f>O77-M77</f>
        <v/>
      </c>
      <c r="Q77" s="35">
        <f>P77+L77</f>
        <v/>
      </c>
    </row>
    <row r="78">
      <c r="A78" s="9" t="inlineStr">
        <is>
          <t>Amazon</t>
        </is>
      </c>
      <c r="B78" s="10">
        <f>'Amazon'!$C$12</f>
        <v/>
      </c>
      <c r="C78" s="19">
        <f>Levers!$C$39</f>
        <v/>
      </c>
      <c r="D78" s="10">
        <f>B78*C78</f>
        <v/>
      </c>
      <c r="E78" s="10">
        <f>B78-D78</f>
        <v/>
      </c>
      <c r="F78" s="10">
        <f>D78*(1-1/TrainLever)</f>
        <v/>
      </c>
      <c r="G78" s="10">
        <f>E78*(1-1/ServeGPULever)</f>
        <v/>
      </c>
      <c r="H78" s="10">
        <f>F78+G78</f>
        <v/>
      </c>
      <c r="I78" s="42">
        <f>'Amazon'!$C$34</f>
        <v/>
      </c>
      <c r="J78" s="42">
        <f>IF(B78&gt;0,I78*F78/B78,0)</f>
        <v/>
      </c>
      <c r="K78" s="42">
        <f>IF(B78&gt;0,I78*G78/B78,0)</f>
        <v/>
      </c>
      <c r="L78" s="35">
        <f>H78+J78+K78</f>
        <v/>
      </c>
      <c r="M78" s="10">
        <f>'Amazon'!$C$10+I78</f>
        <v/>
      </c>
      <c r="N78" s="19">
        <f>L78/M78</f>
        <v/>
      </c>
      <c r="O78" s="10">
        <f>'Amazon'!$C$32</f>
        <v/>
      </c>
      <c r="P78" s="10">
        <f>O78-M78</f>
        <v/>
      </c>
      <c r="Q78" s="35">
        <f>P78+L78</f>
        <v/>
      </c>
    </row>
    <row r="79">
      <c r="A79" s="9" t="inlineStr">
        <is>
          <t>Meta</t>
        </is>
      </c>
      <c r="B79" s="10">
        <f>'Meta'!$C$12</f>
        <v/>
      </c>
      <c r="C79" s="19">
        <f>Levers!$C$40</f>
        <v/>
      </c>
      <c r="D79" s="10">
        <f>B79*C79</f>
        <v/>
      </c>
      <c r="E79" s="10">
        <f>B79-D79</f>
        <v/>
      </c>
      <c r="F79" s="10">
        <f>D79*(1-1/TrainLever)</f>
        <v/>
      </c>
      <c r="G79" s="10">
        <f>E79*(1-1/ServeGPULever)</f>
        <v/>
      </c>
      <c r="H79" s="10">
        <f>F79+G79</f>
        <v/>
      </c>
      <c r="I79" s="42">
        <f>'Meta'!$C$34</f>
        <v/>
      </c>
      <c r="J79" s="42">
        <f>IF(B79&gt;0,I79*F79/B79,0)</f>
        <v/>
      </c>
      <c r="K79" s="42">
        <f>IF(B79&gt;0,I79*G79/B79,0)</f>
        <v/>
      </c>
      <c r="L79" s="35">
        <f>H79+J79+K79</f>
        <v/>
      </c>
      <c r="M79" s="10">
        <f>'Meta'!$C$10+I79</f>
        <v/>
      </c>
      <c r="N79" s="19">
        <f>L79/M79</f>
        <v/>
      </c>
      <c r="O79" s="10">
        <f>'Meta'!$C$32</f>
        <v/>
      </c>
      <c r="P79" s="10">
        <f>O79-M79</f>
        <v/>
      </c>
      <c r="Q79" s="35">
        <f>P79+L79</f>
        <v/>
      </c>
    </row>
    <row r="80">
      <c r="A80" s="9" t="inlineStr">
        <is>
          <t>Oracle</t>
        </is>
      </c>
      <c r="B80" s="10">
        <f>'Oracle'!$C$12</f>
        <v/>
      </c>
      <c r="C80" s="19">
        <f>Levers!$C$41</f>
        <v/>
      </c>
      <c r="D80" s="10">
        <f>B80*C80</f>
        <v/>
      </c>
      <c r="E80" s="10">
        <f>B80-D80</f>
        <v/>
      </c>
      <c r="F80" s="10">
        <f>D80*(1-1/TrainLever)</f>
        <v/>
      </c>
      <c r="G80" s="10">
        <f>E80*(1-1/ServeGPULever)</f>
        <v/>
      </c>
      <c r="H80" s="10">
        <f>F80+G80</f>
        <v/>
      </c>
      <c r="I80" s="42">
        <f>'Oracle'!$C$34</f>
        <v/>
      </c>
      <c r="J80" s="42">
        <f>IF(B80&gt;0,I80*F80/B80,0)</f>
        <v/>
      </c>
      <c r="K80" s="42">
        <f>IF(B80&gt;0,I80*G80/B80,0)</f>
        <v/>
      </c>
      <c r="L80" s="35">
        <f>H80+J80+K80</f>
        <v/>
      </c>
      <c r="M80" s="10">
        <f>'Oracle'!$C$10+I80</f>
        <v/>
      </c>
      <c r="N80" s="19">
        <f>L80/M80</f>
        <v/>
      </c>
      <c r="O80" s="10">
        <f>'Oracle'!$C$32</f>
        <v/>
      </c>
      <c r="P80" s="10">
        <f>O80-M80</f>
        <v/>
      </c>
      <c r="Q80" s="35">
        <f>P80+L80</f>
        <v/>
      </c>
    </row>
    <row r="81">
      <c r="A81" s="9" t="inlineStr">
        <is>
          <t>SpaceX</t>
        </is>
      </c>
      <c r="B81" s="10">
        <f>'SpaceX'!$C$12</f>
        <v/>
      </c>
      <c r="C81" s="19">
        <f>Levers!$C$42</f>
        <v/>
      </c>
      <c r="D81" s="10">
        <f>B81*C81</f>
        <v/>
      </c>
      <c r="E81" s="10">
        <f>B81-D81</f>
        <v/>
      </c>
      <c r="F81" s="10">
        <f>D81*(1-1/TrainLever)</f>
        <v/>
      </c>
      <c r="G81" s="10">
        <f>E81*(1-1/ServeGPULever)</f>
        <v/>
      </c>
      <c r="H81" s="10">
        <f>F81+G81</f>
        <v/>
      </c>
      <c r="I81" s="42">
        <f>'SpaceX'!$C$34</f>
        <v/>
      </c>
      <c r="J81" s="42">
        <f>IF(B81&gt;0,I81*F81/B81,0)</f>
        <v/>
      </c>
      <c r="K81" s="42">
        <f>IF(B81&gt;0,I81*G81/B81,0)</f>
        <v/>
      </c>
      <c r="L81" s="35">
        <f>H81+J81+K81</f>
        <v/>
      </c>
      <c r="M81" s="10">
        <f>'SpaceX'!$C$10+I81</f>
        <v/>
      </c>
      <c r="N81" s="19">
        <f>L81/M81</f>
        <v/>
      </c>
      <c r="O81" s="10">
        <f>'SpaceX'!$C$32</f>
        <v/>
      </c>
      <c r="P81" s="10">
        <f>O81-M81</f>
        <v/>
      </c>
      <c r="Q81" s="35">
        <f>P81+L81</f>
        <v/>
      </c>
    </row>
    <row r="82">
      <c r="A82" s="31" t="inlineStr">
        <is>
          <t>TOTAL (6)</t>
        </is>
      </c>
      <c r="B82" s="32">
        <f>SUM(B76:B81)</f>
        <v/>
      </c>
      <c r="C82" s="33">
        <f>D82/B82</f>
        <v/>
      </c>
      <c r="D82" s="32">
        <f>SUM(D76:D81)</f>
        <v/>
      </c>
      <c r="E82" s="32">
        <f>SUM(E76:E81)</f>
        <v/>
      </c>
      <c r="F82" s="32">
        <f>SUM(F76:F81)</f>
        <v/>
      </c>
      <c r="G82" s="32">
        <f>SUM(G76:G81)</f>
        <v/>
      </c>
      <c r="H82" s="32">
        <f>SUM(H76:H81)</f>
        <v/>
      </c>
      <c r="I82" s="49">
        <f>SUM(I76:I81)</f>
        <v/>
      </c>
      <c r="J82" s="49">
        <f>SUM(J76:J81)</f>
        <v/>
      </c>
      <c r="K82" s="49">
        <f>SUM(K76:K81)</f>
        <v/>
      </c>
      <c r="L82" s="32">
        <f>SUM(L76:L81)</f>
        <v/>
      </c>
      <c r="M82" s="32">
        <f>SUM(M76:M81)</f>
        <v/>
      </c>
      <c r="N82" s="33">
        <f>L82/M82</f>
        <v/>
      </c>
      <c r="O82" s="32">
        <f>SUM(O76:O81)</f>
        <v/>
      </c>
      <c r="P82" s="32">
        <f>SUM(P76:P81)</f>
        <v/>
      </c>
      <c r="Q82" s="32">
        <f>SUM(Q76:Q81)</f>
        <v/>
      </c>
    </row>
    <row r="83"/>
    <row r="84" ht="20" customHeight="1">
      <c r="A84" s="5" t="inlineStr">
        <is>
          <t>DETAIL BY COMPANY — FY2025 (actual), $B. The engine behind every number above.</t>
        </is>
      </c>
      <c r="B84" s="6" t="n"/>
      <c r="C84" s="6" t="n"/>
      <c r="D84" s="6" t="n"/>
      <c r="E84" s="6" t="n"/>
      <c r="F84" s="6" t="n"/>
      <c r="G84" s="6" t="n"/>
      <c r="H84" s="6" t="n"/>
      <c r="I84" s="6" t="n"/>
      <c r="J84" s="6" t="n"/>
      <c r="K84" s="6" t="n"/>
      <c r="L84" s="6" t="n"/>
      <c r="M84" s="6" t="n"/>
      <c r="N84" s="6" t="n"/>
      <c r="O84" s="6" t="n"/>
      <c r="P84" s="6" t="n"/>
      <c r="Q84" s="6" t="n"/>
    </row>
    <row r="85" ht="48" customHeight="1">
      <c r="A85" s="7" t="inlineStr">
        <is>
          <t>Company</t>
        </is>
      </c>
      <c r="B85" s="8" t="inlineStr">
        <is>
          <t>AI-chip capex</t>
        </is>
      </c>
      <c r="C85" s="8" t="inlineStr">
        <is>
          <t>Training share</t>
        </is>
      </c>
      <c r="D85" s="8" t="inlineStr">
        <is>
          <t>Training fleet</t>
        </is>
      </c>
      <c r="E85" s="8" t="inlineStr">
        <is>
          <t>Inference fleet</t>
        </is>
      </c>
      <c r="F85" s="8" t="inlineStr">
        <is>
          <t>Training capex avoided</t>
        </is>
      </c>
      <c r="G85" s="8" t="inlineStr">
        <is>
          <t>Inference capex avoided</t>
        </is>
      </c>
      <c r="H85" s="8" t="inlineStr">
        <is>
          <t>Chip capex avoided</t>
        </is>
      </c>
      <c r="I85" s="8" t="inlineStr">
        <is>
          <t>Power &amp; ops today</t>
        </is>
      </c>
      <c r="J85" s="8" t="inlineStr">
        <is>
          <t>Training power saved</t>
        </is>
      </c>
      <c r="K85" s="8" t="inlineStr">
        <is>
          <t>Inference power saved</t>
        </is>
      </c>
      <c r="L85" s="8" t="inlineStr">
        <is>
          <t>TOTAL saving</t>
        </is>
      </c>
      <c r="M85" s="8" t="inlineStr">
        <is>
          <t>AI spend (capex + power)</t>
        </is>
      </c>
      <c r="N85" s="8" t="inlineStr">
        <is>
          <t>% of AI spend cut</t>
        </is>
      </c>
      <c r="O85" s="8" t="inlineStr">
        <is>
          <t>AI revenue</t>
        </is>
      </c>
      <c r="P85" s="8" t="inlineStr">
        <is>
          <t>Net AI today</t>
        </is>
      </c>
      <c r="Q85" s="8" t="inlineStr">
        <is>
          <t>Net AI with Helarctos</t>
        </is>
      </c>
    </row>
    <row r="86">
      <c r="A86" s="9" t="inlineStr">
        <is>
          <t>Microsoft</t>
        </is>
      </c>
      <c r="B86" s="10">
        <f>'Microsoft'!$B$12</f>
        <v/>
      </c>
      <c r="C86" s="19">
        <f>Levers!$C$37</f>
        <v/>
      </c>
      <c r="D86" s="10">
        <f>B86*C86</f>
        <v/>
      </c>
      <c r="E86" s="10">
        <f>B86-D86</f>
        <v/>
      </c>
      <c r="F86" s="10">
        <f>D86*(1-1/TrainLever)</f>
        <v/>
      </c>
      <c r="G86" s="10">
        <f>E86*(1-1/ServeGPULever)</f>
        <v/>
      </c>
      <c r="H86" s="10">
        <f>F86+G86</f>
        <v/>
      </c>
      <c r="I86" s="42">
        <f>'Microsoft'!$B$34</f>
        <v/>
      </c>
      <c r="J86" s="42">
        <f>IF(B86&gt;0,I86*F86/B86,0)</f>
        <v/>
      </c>
      <c r="K86" s="42">
        <f>IF(B86&gt;0,I86*G86/B86,0)</f>
        <v/>
      </c>
      <c r="L86" s="35">
        <f>H86+J86+K86</f>
        <v/>
      </c>
      <c r="M86" s="10">
        <f>'Microsoft'!$B$10+I86</f>
        <v/>
      </c>
      <c r="N86" s="19">
        <f>L86/M86</f>
        <v/>
      </c>
      <c r="O86" s="10">
        <f>'Microsoft'!$B$32</f>
        <v/>
      </c>
      <c r="P86" s="10">
        <f>O86-M86</f>
        <v/>
      </c>
      <c r="Q86" s="35">
        <f>P86+L86</f>
        <v/>
      </c>
    </row>
    <row r="87">
      <c r="A87" s="9" t="inlineStr">
        <is>
          <t>Alphabet</t>
        </is>
      </c>
      <c r="B87" s="10">
        <f>'Alphabet'!$B$12</f>
        <v/>
      </c>
      <c r="C87" s="19">
        <f>Levers!$C$38</f>
        <v/>
      </c>
      <c r="D87" s="10">
        <f>B87*C87</f>
        <v/>
      </c>
      <c r="E87" s="10">
        <f>B87-D87</f>
        <v/>
      </c>
      <c r="F87" s="10">
        <f>D87*(1-1/TrainLever)</f>
        <v/>
      </c>
      <c r="G87" s="10">
        <f>E87*(1-1/ServeGPULever)</f>
        <v/>
      </c>
      <c r="H87" s="10">
        <f>F87+G87</f>
        <v/>
      </c>
      <c r="I87" s="42">
        <f>'Alphabet'!$B$34</f>
        <v/>
      </c>
      <c r="J87" s="42">
        <f>IF(B87&gt;0,I87*F87/B87,0)</f>
        <v/>
      </c>
      <c r="K87" s="42">
        <f>IF(B87&gt;0,I87*G87/B87,0)</f>
        <v/>
      </c>
      <c r="L87" s="35">
        <f>H87+J87+K87</f>
        <v/>
      </c>
      <c r="M87" s="10">
        <f>'Alphabet'!$B$10+I87</f>
        <v/>
      </c>
      <c r="N87" s="19">
        <f>L87/M87</f>
        <v/>
      </c>
      <c r="O87" s="10">
        <f>'Alphabet'!$B$32</f>
        <v/>
      </c>
      <c r="P87" s="10">
        <f>O87-M87</f>
        <v/>
      </c>
      <c r="Q87" s="35">
        <f>P87+L87</f>
        <v/>
      </c>
    </row>
    <row r="88">
      <c r="A88" s="9" t="inlineStr">
        <is>
          <t>Amazon</t>
        </is>
      </c>
      <c r="B88" s="10">
        <f>'Amazon'!$B$12</f>
        <v/>
      </c>
      <c r="C88" s="19">
        <f>Levers!$C$39</f>
        <v/>
      </c>
      <c r="D88" s="10">
        <f>B88*C88</f>
        <v/>
      </c>
      <c r="E88" s="10">
        <f>B88-D88</f>
        <v/>
      </c>
      <c r="F88" s="10">
        <f>D88*(1-1/TrainLever)</f>
        <v/>
      </c>
      <c r="G88" s="10">
        <f>E88*(1-1/ServeGPULever)</f>
        <v/>
      </c>
      <c r="H88" s="10">
        <f>F88+G88</f>
        <v/>
      </c>
      <c r="I88" s="42">
        <f>'Amazon'!$B$34</f>
        <v/>
      </c>
      <c r="J88" s="42">
        <f>IF(B88&gt;0,I88*F88/B88,0)</f>
        <v/>
      </c>
      <c r="K88" s="42">
        <f>IF(B88&gt;0,I88*G88/B88,0)</f>
        <v/>
      </c>
      <c r="L88" s="35">
        <f>H88+J88+K88</f>
        <v/>
      </c>
      <c r="M88" s="10">
        <f>'Amazon'!$B$10+I88</f>
        <v/>
      </c>
      <c r="N88" s="19">
        <f>L88/M88</f>
        <v/>
      </c>
      <c r="O88" s="10">
        <f>'Amazon'!$B$32</f>
        <v/>
      </c>
      <c r="P88" s="10">
        <f>O88-M88</f>
        <v/>
      </c>
      <c r="Q88" s="35">
        <f>P88+L88</f>
        <v/>
      </c>
    </row>
    <row r="89">
      <c r="A89" s="9" t="inlineStr">
        <is>
          <t>Meta</t>
        </is>
      </c>
      <c r="B89" s="10">
        <f>'Meta'!$B$12</f>
        <v/>
      </c>
      <c r="C89" s="19">
        <f>Levers!$C$40</f>
        <v/>
      </c>
      <c r="D89" s="10">
        <f>B89*C89</f>
        <v/>
      </c>
      <c r="E89" s="10">
        <f>B89-D89</f>
        <v/>
      </c>
      <c r="F89" s="10">
        <f>D89*(1-1/TrainLever)</f>
        <v/>
      </c>
      <c r="G89" s="10">
        <f>E89*(1-1/ServeGPULever)</f>
        <v/>
      </c>
      <c r="H89" s="10">
        <f>F89+G89</f>
        <v/>
      </c>
      <c r="I89" s="42">
        <f>'Meta'!$B$34</f>
        <v/>
      </c>
      <c r="J89" s="42">
        <f>IF(B89&gt;0,I89*F89/B89,0)</f>
        <v/>
      </c>
      <c r="K89" s="42">
        <f>IF(B89&gt;0,I89*G89/B89,0)</f>
        <v/>
      </c>
      <c r="L89" s="35">
        <f>H89+J89+K89</f>
        <v/>
      </c>
      <c r="M89" s="10">
        <f>'Meta'!$B$10+I89</f>
        <v/>
      </c>
      <c r="N89" s="19">
        <f>L89/M89</f>
        <v/>
      </c>
      <c r="O89" s="10">
        <f>'Meta'!$B$32</f>
        <v/>
      </c>
      <c r="P89" s="10">
        <f>O89-M89</f>
        <v/>
      </c>
      <c r="Q89" s="35">
        <f>P89+L89</f>
        <v/>
      </c>
    </row>
    <row r="90">
      <c r="A90" s="9" t="inlineStr">
        <is>
          <t>Oracle</t>
        </is>
      </c>
      <c r="B90" s="10">
        <f>'Oracle'!$B$12</f>
        <v/>
      </c>
      <c r="C90" s="19">
        <f>Levers!$C$41</f>
        <v/>
      </c>
      <c r="D90" s="10">
        <f>B90*C90</f>
        <v/>
      </c>
      <c r="E90" s="10">
        <f>B90-D90</f>
        <v/>
      </c>
      <c r="F90" s="10">
        <f>D90*(1-1/TrainLever)</f>
        <v/>
      </c>
      <c r="G90" s="10">
        <f>E90*(1-1/ServeGPULever)</f>
        <v/>
      </c>
      <c r="H90" s="10">
        <f>F90+G90</f>
        <v/>
      </c>
      <c r="I90" s="42">
        <f>'Oracle'!$B$34</f>
        <v/>
      </c>
      <c r="J90" s="42">
        <f>IF(B90&gt;0,I90*F90/B90,0)</f>
        <v/>
      </c>
      <c r="K90" s="42">
        <f>IF(B90&gt;0,I90*G90/B90,0)</f>
        <v/>
      </c>
      <c r="L90" s="35">
        <f>H90+J90+K90</f>
        <v/>
      </c>
      <c r="M90" s="10">
        <f>'Oracle'!$B$10+I90</f>
        <v/>
      </c>
      <c r="N90" s="19">
        <f>L90/M90</f>
        <v/>
      </c>
      <c r="O90" s="10">
        <f>'Oracle'!$B$32</f>
        <v/>
      </c>
      <c r="P90" s="10">
        <f>O90-M90</f>
        <v/>
      </c>
      <c r="Q90" s="35">
        <f>P90+L90</f>
        <v/>
      </c>
    </row>
    <row r="91">
      <c r="A91" s="9" t="inlineStr">
        <is>
          <t>SpaceX</t>
        </is>
      </c>
      <c r="B91" s="10">
        <f>'SpaceX'!$B$12</f>
        <v/>
      </c>
      <c r="C91" s="19">
        <f>Levers!$C$42</f>
        <v/>
      </c>
      <c r="D91" s="10">
        <f>B91*C91</f>
        <v/>
      </c>
      <c r="E91" s="10">
        <f>B91-D91</f>
        <v/>
      </c>
      <c r="F91" s="10">
        <f>D91*(1-1/TrainLever)</f>
        <v/>
      </c>
      <c r="G91" s="10">
        <f>E91*(1-1/ServeGPULever)</f>
        <v/>
      </c>
      <c r="H91" s="10">
        <f>F91+G91</f>
        <v/>
      </c>
      <c r="I91" s="42">
        <f>'SpaceX'!$B$34</f>
        <v/>
      </c>
      <c r="J91" s="42">
        <f>IF(B91&gt;0,I91*F91/B91,0)</f>
        <v/>
      </c>
      <c r="K91" s="42">
        <f>IF(B91&gt;0,I91*G91/B91,0)</f>
        <v/>
      </c>
      <c r="L91" s="35">
        <f>H91+J91+K91</f>
        <v/>
      </c>
      <c r="M91" s="10">
        <f>'SpaceX'!$B$10+I91</f>
        <v/>
      </c>
      <c r="N91" s="19">
        <f>L91/M91</f>
        <v/>
      </c>
      <c r="O91" s="10">
        <f>'SpaceX'!$B$32</f>
        <v/>
      </c>
      <c r="P91" s="10">
        <f>O91-M91</f>
        <v/>
      </c>
      <c r="Q91" s="35">
        <f>P91+L91</f>
        <v/>
      </c>
    </row>
    <row r="92">
      <c r="A92" s="31" t="inlineStr">
        <is>
          <t>TOTAL (6)</t>
        </is>
      </c>
      <c r="B92" s="32">
        <f>SUM(B86:B91)</f>
        <v/>
      </c>
      <c r="C92" s="33">
        <f>D92/B92</f>
        <v/>
      </c>
      <c r="D92" s="32">
        <f>SUM(D86:D91)</f>
        <v/>
      </c>
      <c r="E92" s="32">
        <f>SUM(E86:E91)</f>
        <v/>
      </c>
      <c r="F92" s="32">
        <f>SUM(F86:F91)</f>
        <v/>
      </c>
      <c r="G92" s="32">
        <f>SUM(G86:G91)</f>
        <v/>
      </c>
      <c r="H92" s="32">
        <f>SUM(H86:H91)</f>
        <v/>
      </c>
      <c r="I92" s="49">
        <f>SUM(I86:I91)</f>
        <v/>
      </c>
      <c r="J92" s="49">
        <f>SUM(J86:J91)</f>
        <v/>
      </c>
      <c r="K92" s="49">
        <f>SUM(K86:K91)</f>
        <v/>
      </c>
      <c r="L92" s="32">
        <f>SUM(L86:L91)</f>
        <v/>
      </c>
      <c r="M92" s="32">
        <f>SUM(M86:M91)</f>
        <v/>
      </c>
      <c r="N92" s="33">
        <f>L92/M92</f>
        <v/>
      </c>
      <c r="O92" s="32">
        <f>SUM(O86:O91)</f>
        <v/>
      </c>
      <c r="P92" s="32">
        <f>SUM(P86:P91)</f>
        <v/>
      </c>
      <c r="Q92" s="32">
        <f>SUM(Q86:Q91)</f>
        <v/>
      </c>
    </row>
  </sheetData>
  <mergeCells count="23">
    <mergeCell ref="D13:I13"/>
    <mergeCell ref="D32:I32"/>
    <mergeCell ref="D7:I7"/>
    <mergeCell ref="D72:I72"/>
    <mergeCell ref="A2:I2"/>
    <mergeCell ref="D18:I18"/>
    <mergeCell ref="D9:I9"/>
    <mergeCell ref="A53:I53"/>
    <mergeCell ref="D30:I30"/>
    <mergeCell ref="D25:I25"/>
    <mergeCell ref="D33:I33"/>
    <mergeCell ref="D24:I24"/>
    <mergeCell ref="D42:I42"/>
    <mergeCell ref="D29:I29"/>
    <mergeCell ref="D5:I5"/>
    <mergeCell ref="D20:I20"/>
    <mergeCell ref="D19:I19"/>
    <mergeCell ref="D10:I10"/>
    <mergeCell ref="D46:I46"/>
    <mergeCell ref="D31:I31"/>
    <mergeCell ref="D36:I36"/>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49"/>
  <sheetViews>
    <sheetView workbookViewId="0">
      <pane ySplit="2" topLeftCell="A3" activePane="bottomLeft" state="frozen"/>
      <selection pane="bottomLeft" activeCell="A1" sqref="A1"/>
    </sheetView>
  </sheetViews>
  <sheetFormatPr baseColWidth="8" defaultRowHeight="15"/>
  <cols>
    <col width="6" customWidth="1" min="1" max="1"/>
    <col width="44" customWidth="1" min="2" max="2"/>
    <col width="17" customWidth="1" min="3" max="3"/>
    <col width="15" customWidth="1" min="4" max="4"/>
    <col width="15" customWidth="1" min="5" max="5"/>
    <col width="28" customWidth="1" min="6" max="6"/>
    <col width="58" customWidth="1" min="7" max="7"/>
    <col width="24" customWidth="1" min="8" max="8"/>
  </cols>
  <sheetData>
    <row r="1" ht="30" customHeight="1">
      <c r="A1" s="1" t="inlineStr">
        <is>
          <t>LEVERS — what Helarctos changes (H1–H6) vs. market &amp; company data</t>
        </is>
      </c>
      <c r="B1" s="2" t="n"/>
      <c r="C1" s="2" t="n"/>
      <c r="D1" s="2" t="n"/>
      <c r="E1" s="2" t="n"/>
      <c r="F1" s="2" t="n"/>
      <c r="G1" s="2" t="n"/>
      <c r="H1" s="2" t="n"/>
    </row>
    <row r="2" ht="33" customHeight="1">
      <c r="A2" s="3" t="inlineStr">
        <is>
          <t>Only the six teal levers (H1–H6) are about the Helarctos architecture. Everything else the front tabs use is market or company data, listed further down. ◆ purple = differs between the two scenarios · ★ orange border = high-impact input (What Matters tab).</t>
        </is>
      </c>
    </row>
    <row r="3"/>
    <row r="4" ht="33" customHeight="1">
      <c r="B4" s="43" t="inlineStr">
        <is>
          <t>◆ Scenario (pick from the list)</t>
        </is>
      </c>
      <c r="C4" s="39" t="inlineStr">
        <is>
          <t>Current kernels</t>
        </is>
      </c>
      <c r="D4" s="21" t="inlineStr">
        <is>
          <t>Current kernels = the software we have built and measured. Optimized kernels = our funded kernel programme lands (a TARGET). Only the ◆ cells change: H3 and prompt-processing speed.</t>
        </is>
      </c>
    </row>
    <row r="5" ht="18" customHeight="1">
      <c r="B5" s="43" t="inlineStr">
        <is>
          <t>Average conversation length (context)</t>
        </is>
      </c>
      <c r="C5" s="38" t="inlineStr">
        <is>
          <t>262k tokens</t>
        </is>
      </c>
      <c r="D5" s="21" t="inlineStr">
        <is>
          <t>H4, H5 and H6 are quoted at this context. Longer conversations favour Helarctos more.</t>
        </is>
      </c>
    </row>
    <row r="6"/>
    <row r="7" ht="20" customHeight="1">
      <c r="A7" s="5" t="inlineStr">
        <is>
          <t>HELARCTOS LEVERS — the six things the architecture changes</t>
        </is>
      </c>
      <c r="B7" s="6" t="n"/>
      <c r="C7" s="6" t="n"/>
      <c r="D7" s="6" t="n"/>
      <c r="E7" s="6" t="n"/>
      <c r="F7" s="6" t="n"/>
      <c r="G7" s="6" t="n"/>
      <c r="H7" s="6" t="n"/>
    </row>
    <row r="8" ht="33" customHeight="1">
      <c r="A8" s="7" t="inlineStr">
        <is>
          <t>#</t>
        </is>
      </c>
      <c r="B8" s="8" t="inlineStr">
        <is>
          <t>Helarctos lever</t>
        </is>
      </c>
      <c r="C8" s="8" t="inlineStr">
        <is>
          <t>Active value</t>
        </is>
      </c>
      <c r="D8" s="8" t="inlineStr">
        <is>
          <t>◆ Current kernels</t>
        </is>
      </c>
      <c r="E8" s="8" t="inlineStr">
        <is>
          <t>◆ Optimized kernels</t>
        </is>
      </c>
      <c r="F8" s="8" t="inlineStr">
        <is>
          <t>How sure are we?</t>
        </is>
      </c>
      <c r="G8" s="8" t="inlineStr">
        <is>
          <t>What it means</t>
        </is>
      </c>
      <c r="H8" s="8" t="inlineStr">
        <is>
          <t>Saves money in</t>
        </is>
      </c>
    </row>
    <row r="9" ht="78" customHeight="1">
      <c r="A9" s="50" t="inlineStr">
        <is>
          <t>H1</t>
        </is>
      </c>
      <c r="B9" s="22" t="inlineStr">
        <is>
          <t>Smaller model for the same quality ★</t>
        </is>
      </c>
      <c r="C9" s="51">
        <f>Inputs!$B$23</f>
        <v/>
      </c>
      <c r="D9" s="52" t="inlineStr">
        <is>
          <t>same</t>
        </is>
      </c>
      <c r="E9" s="52" t="inlineStr">
        <is>
          <t>same</t>
        </is>
      </c>
      <c r="F9" s="14" t="inlineStr">
        <is>
          <t>PROJECTED — quality trends measured on models we trained (47M–663M parameters), extended to ~1T dense-equivalent</t>
        </is>
      </c>
      <c r="G9" s="14" t="inlineStr">
        <is>
          <t>A Helarctos model matches a ~1T dense-equivalent transformer — about what today's 5–6T-total mixture-of-experts flagships amount to — with ~24% of the parameters: 4.2× fewer numbers to store, update and run.</t>
        </is>
      </c>
      <c r="H9" s="14" t="inlineStr">
        <is>
          <t>Training (inference cost doesn't depend on model size)</t>
        </is>
      </c>
    </row>
    <row r="10" ht="48" customHeight="1">
      <c r="A10" s="50" t="inlineStr">
        <is>
          <t>H2</t>
        </is>
      </c>
      <c r="B10" s="22" t="inlineStr">
        <is>
          <t>Fewer training tokens</t>
        </is>
      </c>
      <c r="C10" s="53">
        <f>C9</f>
        <v/>
      </c>
      <c r="D10" s="52" t="inlineStr">
        <is>
          <t>same</t>
        </is>
      </c>
      <c r="E10" s="52" t="inlineStr">
        <is>
          <t>same</t>
        </is>
      </c>
      <c r="F10" s="14" t="inlineStr">
        <is>
          <t>PROJECTED — standard compute-optimal scaling</t>
        </is>
      </c>
      <c r="G10" s="14" t="inlineStr">
        <is>
          <t>Frontier labs train on data in proportion to model size, so a 4.2× smaller model reaches its best quality on ~4.2× fewer tokens.</t>
        </is>
      </c>
      <c r="H10" s="14" t="inlineStr">
        <is>
          <t>Training</t>
        </is>
      </c>
    </row>
    <row r="11" ht="63" customHeight="1">
      <c r="A11" s="50" t="inlineStr">
        <is>
          <t>H3</t>
        </is>
      </c>
      <c r="B11" s="22" t="inlineStr">
        <is>
          <t>Training speed per token (same model size) ◆</t>
        </is>
      </c>
      <c r="C11" s="54">
        <f>IF(Scenario="Optimized kernels",E11,D11)</f>
        <v/>
      </c>
      <c r="D11" s="26" t="n">
        <v>1</v>
      </c>
      <c r="E11" s="26" t="n">
        <v>1</v>
      </c>
      <c r="F11" s="14" t="inlineStr">
        <is>
          <t>ASSUMPTION — about the same as a transformer; no credit taken</t>
        </is>
      </c>
      <c r="G11" s="14" t="inlineStr">
        <is>
          <t>At the same size Helarctos trains at about the same speed per token, so no speed-up is counted (enter one under Optimized kernels if the kernel programme delivers it).</t>
        </is>
      </c>
      <c r="H11" s="14" t="inlineStr">
        <is>
          <t>Training</t>
        </is>
      </c>
    </row>
    <row r="12" ht="108" customHeight="1">
      <c r="A12" s="50" t="inlineStr">
        <is>
          <t>H4</t>
        </is>
      </c>
      <c r="B12" s="22" t="inlineStr">
        <is>
          <t>Memory per live conversation</t>
        </is>
      </c>
      <c r="C12" s="55">
        <f>Inputs!$B$2</f>
        <v/>
      </c>
      <c r="D12" s="52" t="inlineStr">
        <is>
          <t>same</t>
        </is>
      </c>
      <c r="E12" s="52" t="inlineStr">
        <is>
          <t>same</t>
        </is>
      </c>
      <c r="F12" s="14" t="inlineStr">
        <is>
          <t>MEASURED ×2,032 at 262k (on our test model). Frontier-size models with grouped-query attention: ~÷208 (estimate), where memory would bind again (about −$0.5B)</t>
        </is>
      </c>
      <c r="G12" s="14" t="inlineStr">
        <is>
          <t>A transformer's memory (the KV cache) grows with every token of every live conversation — 51.6 GB for one 262k-token conversation. Helarctos keeps a fixed-size state (25.4 MB).</t>
        </is>
      </c>
      <c r="H12" s="14" t="inlineStr">
        <is>
          <t>Inference GPUs (the memory limit; not binding at 262k)</t>
        </is>
      </c>
    </row>
    <row r="13" ht="63" customHeight="1">
      <c r="A13" s="50" t="inlineStr">
        <is>
          <t>H5</t>
        </is>
      </c>
      <c r="B13" s="22" t="inlineStr">
        <is>
          <t>More conversations per GPU</t>
        </is>
      </c>
      <c r="C13" s="27">
        <f>Inputs!$B$28</f>
        <v/>
      </c>
      <c r="D13" s="52" t="inlineStr">
        <is>
          <t>same</t>
        </is>
      </c>
      <c r="E13" s="52" t="inlineStr">
        <is>
          <t>same</t>
        </is>
      </c>
      <c r="F13" s="14" t="inlineStr">
        <is>
          <t>MEASURED — 64 conversations in 1.6 GB on one GPU (a grid cap); the transformer's 2nd OOMs</t>
        </is>
      </c>
      <c r="G13" s="14" t="inlineStr">
        <is>
          <t>The small memory (H4) lets one GPU hold 64 resident 262k-token conversations at once, where a transformer fits 1.</t>
        </is>
      </c>
      <c r="H13" s="14" t="inlineStr">
        <is>
          <t>Inference GPUs (tokens per GPU)</t>
        </is>
      </c>
    </row>
    <row r="14" ht="78" customHeight="1">
      <c r="A14" s="50" t="inlineStr">
        <is>
          <t>H6</t>
        </is>
      </c>
      <c r="B14" s="22" t="inlineStr">
        <is>
          <t>Faster decode per token</t>
        </is>
      </c>
      <c r="C14" s="20">
        <f>Inputs!$B$29</f>
        <v/>
      </c>
      <c r="D14" s="52" t="inlineStr">
        <is>
          <t>same</t>
        </is>
      </c>
      <c r="E14" s="52" t="inlineStr">
        <is>
          <t>same</t>
        </is>
      </c>
      <c r="F14" s="14" t="inlineStr">
        <is>
          <t>ESTIMATE — 2.5 ms per token after the kernel edits (receipt pending); MEASURED ×2.6 on our older kernels</t>
        </is>
      </c>
      <c r="G14" s="14" t="inlineStr">
        <is>
          <t>Each conversation's next token takes 2.5 ms instead of the transformer's 15.6 ms at 262k: no growing cache to re-read for every token.</t>
        </is>
      </c>
      <c r="H14" s="14" t="inlineStr">
        <is>
          <t>Inference GPUs (tokens per GPU)</t>
        </is>
      </c>
    </row>
    <row r="15" ht="48" customHeight="1">
      <c r="A15" s="9" t="inlineStr"/>
      <c r="B15" s="14" t="inlineStr">
        <is>
          <t>Supporting: prompt-processing speed vs the transformer ◆</t>
        </is>
      </c>
      <c r="C15" s="56">
        <f>IF(Scenario="Optimized kernels",E15,D15)</f>
        <v/>
      </c>
      <c r="D15" s="57">
        <f>Inputs!$B$24</f>
        <v/>
      </c>
      <c r="E15" s="57">
        <f>Inputs!$B$25</f>
        <v/>
      </c>
      <c r="F15" s="14" t="inlineStr">
        <is>
          <t>MEASURED ×3.94 kernel speed-up banked; the full ×7.03 is a TARGET</t>
        </is>
      </c>
      <c r="G15" s="14" t="inlineStr">
        <is>
          <t>A Helarctos kernel property, not a headline lever: prompts are ~0.2% of a transformer's time at 262k, so it barely moves the dollars.</t>
        </is>
      </c>
      <c r="H15" s="14" t="inlineStr">
        <is>
          <t>Inference GPUs (tokens per GPU)</t>
        </is>
      </c>
    </row>
    <row r="16"/>
    <row r="17" ht="20" customHeight="1">
      <c r="A17" s="5" t="inlineStr">
        <is>
          <t>HOW THE LEVERS COMBINE — one number per fleet</t>
        </is>
      </c>
      <c r="B17" s="6" t="n"/>
      <c r="C17" s="6" t="n"/>
      <c r="D17" s="6" t="n"/>
      <c r="E17" s="6" t="n"/>
      <c r="F17" s="6" t="n"/>
      <c r="G17" s="6" t="n"/>
      <c r="H17" s="6" t="n"/>
    </row>
    <row r="18" ht="33" customHeight="1">
      <c r="B18" s="48" t="inlineStr">
        <is>
          <t>Training: GPU-hours per training run fall by</t>
        </is>
      </c>
      <c r="C18" s="20">
        <f>SmallerModel*FewerTokens*TrainSpeed</f>
        <v/>
      </c>
      <c r="D18" s="21" t="inlineStr">
        <is>
          <t>H1 × H2 × H3. Training clusters are sized to GPU-hours, so the training fleet can shrink by this much for the same training programme.</t>
        </is>
      </c>
    </row>
    <row r="19" ht="33" customHeight="1">
      <c r="B19" s="48" t="inlineStr">
        <is>
          <t>Inference: memory per conversation falls by</t>
        </is>
      </c>
      <c r="C19" s="55">
        <f>MemoryLever</f>
        <v/>
      </c>
      <c r="D19" s="21" t="inlineStr">
        <is>
          <t>H4</t>
        </is>
      </c>
    </row>
    <row r="20" ht="33" customHeight="1">
      <c r="B20" s="48" t="inlineStr">
        <is>
          <t>Inference: decode tokens per GPU rise by</t>
        </is>
      </c>
      <c r="C20" s="27">
        <f>MoreConversations*FasterDecode</f>
        <v/>
      </c>
      <c r="D20" s="21" t="inlineStr">
        <is>
          <t>H5 × H6: more conversations per GPU, each decoded faster</t>
        </is>
      </c>
    </row>
    <row r="21" ht="33" customHeight="1">
      <c r="B21" s="48" t="inlineStr">
        <is>
          <t>Inference: tokens per GPU, including prompt processing</t>
        </is>
      </c>
      <c r="C21" s="27">
        <f>Inputs!$B$27</f>
        <v/>
      </c>
      <c r="D21" s="21" t="inlineStr">
        <is>
          <t>H5 × H6 with the prompts added back at the supporting prompt-processing speed (inference cost doesn't depend on model size)</t>
        </is>
      </c>
    </row>
    <row r="22" ht="33" customHeight="1">
      <c r="B22" s="48" t="inlineStr">
        <is>
          <t>Inference: GPUs needed fall by</t>
        </is>
      </c>
      <c r="C22" s="27">
        <f>MIN(MemoryLever,ServeComputeLever)</f>
        <v/>
      </c>
      <c r="D22" s="21">
        <f>"The smaller of memory (H4) and tokens per GPU. A GPU is bought whole — memory and compute together — so the fleet covers whichever runs out first: here tokens per GPU binds, so faster decode counts. Multiplying them ("&amp;TEXT(MemoryLever,"#,##0")&amp;" × "&amp;TEXT(ServeComputeLever,"#,##0")&amp;") would be wrong."</f>
        <v/>
      </c>
    </row>
    <row r="23" ht="33" customHeight="1">
      <c r="B23" s="14" t="inlineStr">
        <is>
          <t>For reference: technical tabs' blended cut</t>
        </is>
      </c>
      <c r="C23" s="29">
        <f>Inputs!$B$20</f>
        <v/>
      </c>
      <c r="D23" s="21" t="inlineStr">
        <is>
          <t>The technical appendix (Totals, company tabs) prices memory (~60% of a GPU's cost) and compute (~40%) separately and blends them. Same chip bill, within ~2% on FY2026.</t>
        </is>
      </c>
    </row>
    <row r="24"/>
    <row r="25" ht="20" customHeight="1">
      <c r="A25" s="5" t="inlineStr">
        <is>
          <t>MARKET &amp; COMPANY DATA — the other inputs (not about Helarctos)</t>
        </is>
      </c>
      <c r="B25" s="6" t="n"/>
      <c r="C25" s="6" t="n"/>
      <c r="D25" s="6" t="n"/>
      <c r="E25" s="6" t="n"/>
      <c r="F25" s="6" t="n"/>
      <c r="G25" s="6" t="n"/>
      <c r="H25" s="6" t="n"/>
    </row>
    <row r="26" ht="18" customHeight="1">
      <c r="A26" s="7" t="inlineStr"/>
      <c r="B26" s="8" t="inlineStr">
        <is>
          <t>Input</t>
        </is>
      </c>
      <c r="C26" s="8" t="inlineStr">
        <is>
          <t>Value</t>
        </is>
      </c>
      <c r="D26" s="8" t="inlineStr">
        <is>
          <t>Where to edit</t>
        </is>
      </c>
      <c r="E26" s="17" t="n"/>
      <c r="F26" s="8" t="inlineStr">
        <is>
          <t>Note</t>
        </is>
      </c>
      <c r="G26" s="16" t="n"/>
      <c r="H26" s="17" t="n"/>
    </row>
    <row r="27" ht="33" customHeight="1">
      <c r="B27" s="14" t="inlineStr">
        <is>
          <t>AI data-centre capex, FY2026 (six companies)</t>
        </is>
      </c>
      <c r="C27" s="10">
        <f>'Value Bridge'!$B$6</f>
        <v/>
      </c>
      <c r="D27" s="9" t="inlineStr">
        <is>
          <t>company tabs, rows 3–4 ★</t>
        </is>
      </c>
      <c r="E27" s="17" t="n"/>
      <c r="F27" s="21" t="inlineStr">
        <is>
          <t>Disclosed / guided capex × data-centre share (from 10-K/10-Q notes).</t>
        </is>
      </c>
    </row>
    <row r="28" ht="18" customHeight="1">
      <c r="B28" s="14" t="inlineStr">
        <is>
          <t>…share that buys AI chips</t>
        </is>
      </c>
      <c r="C28" s="19">
        <f>'Value Bridge'!$B$7/'Value Bridge'!$B$6</f>
        <v/>
      </c>
      <c r="D28" s="9" t="inlineStr">
        <is>
          <t>company tabs, rows 5–6 ★</t>
        </is>
      </c>
      <c r="E28" s="17" t="n"/>
      <c r="F28" s="21" t="inlineStr">
        <is>
          <t>Server share (CFO-disclosed) × accelerator share of servers (teardowns).</t>
        </is>
      </c>
    </row>
    <row r="29" ht="33" customHeight="1">
      <c r="B29" s="14" t="inlineStr">
        <is>
          <t>Training share of the chip fleet (chip-weighted)</t>
        </is>
      </c>
      <c r="C29" s="19">
        <f>'Value Bridge'!$C$13</f>
        <v/>
      </c>
      <c r="D29" s="9" t="inlineStr">
        <is>
          <t>per company, below</t>
        </is>
      </c>
      <c r="E29" s="17" t="n"/>
      <c r="F29" s="21" t="inlineStr">
        <is>
          <t>Analyst estimates; no company discloses this.</t>
        </is>
      </c>
    </row>
    <row r="30" ht="18" customHeight="1">
      <c r="B30" s="14" t="inlineStr">
        <is>
          <t>Fully-loaded cost per GPU</t>
        </is>
      </c>
      <c r="C30" s="58">
        <f>Inputs!$B$7</f>
        <v/>
      </c>
      <c r="D30" s="9" t="inlineStr">
        <is>
          <t>Inputs B7</t>
        </is>
      </c>
      <c r="E30" s="17" t="n"/>
      <c r="F30" s="21" t="inlineStr">
        <is>
          <t>Sizes the fleet for the power calculation.</t>
        </is>
      </c>
    </row>
    <row r="31" ht="18" customHeight="1">
      <c r="B31" s="14" t="inlineStr">
        <is>
          <t>Wall power per GPU (kW)</t>
        </is>
      </c>
      <c r="C31" s="59">
        <f>Inputs!$B$8</f>
        <v/>
      </c>
      <c r="D31" s="9" t="inlineStr">
        <is>
          <t>Inputs B8</t>
        </is>
      </c>
      <c r="E31" s="17" t="n"/>
      <c r="F31" s="21" t="inlineStr">
        <is>
          <t>Power is ~4% of the saving.</t>
        </is>
      </c>
    </row>
    <row r="32" ht="18" customHeight="1">
      <c r="B32" s="14" t="inlineStr">
        <is>
          <t>Electricity ($/kWh)</t>
        </is>
      </c>
      <c r="C32" s="60">
        <f>Inputs!$B$9</f>
        <v/>
      </c>
      <c r="D32" s="9" t="inlineStr">
        <is>
          <t>Inputs B9</t>
        </is>
      </c>
      <c r="E32" s="17" t="n"/>
      <c r="F32" s="21" t="inlineStr">
        <is>
          <t>Power is ~4% of the saving.</t>
        </is>
      </c>
    </row>
    <row r="33" ht="18" customHeight="1">
      <c r="B33" s="14" t="inlineStr">
        <is>
          <t>Discount rate ★ (capitalized value only)</t>
        </is>
      </c>
      <c r="C33" s="61">
        <f>Inputs!$B$6</f>
        <v/>
      </c>
      <c r="D33" s="9" t="inlineStr">
        <is>
          <t>Inputs B6</t>
        </is>
      </c>
      <c r="E33" s="17" t="n"/>
      <c r="F33" s="21" t="inlineStr">
        <is>
          <t>Changes only the capitalized value, never the yearly saving.</t>
        </is>
      </c>
    </row>
    <row r="34"/>
    <row r="35" ht="20" customHeight="1">
      <c r="A35" s="5" t="inlineStr">
        <is>
          <t>TRAINING SHARE OF EACH COMPANY'S AI-CHIP FLEET — edit the yellow cells</t>
        </is>
      </c>
      <c r="B35" s="6" t="n"/>
      <c r="C35" s="6" t="n"/>
      <c r="D35" s="6" t="n"/>
      <c r="E35" s="6" t="n"/>
      <c r="F35" s="6" t="n"/>
      <c r="G35" s="6" t="n"/>
      <c r="H35" s="6" t="n"/>
    </row>
    <row r="36" ht="18" customHeight="1">
      <c r="B36" s="21" t="inlineStr">
        <is>
          <t>Estimates: no company discloses this. Analysts put training at 30–45% of AI compute in 2026 (Gartner, Deloitte); the rest is inference, i.e. serving users.</t>
        </is>
      </c>
    </row>
    <row r="37" ht="18" customHeight="1">
      <c r="B37" s="9" t="inlineStr">
        <is>
          <t>Microsoft</t>
        </is>
      </c>
      <c r="C37" s="62" t="n">
        <v>0.25</v>
      </c>
      <c r="D37" s="21" t="inlineStr">
        <is>
          <t>Inference-tilted: Azure serves the OpenAI API and Copilot; frontier training is moving to Stargate sites.</t>
        </is>
      </c>
    </row>
    <row r="38" ht="18" customHeight="1">
      <c r="B38" s="9" t="inlineStr">
        <is>
          <t>Alphabet</t>
        </is>
      </c>
      <c r="C38" s="62" t="n">
        <v>0.35</v>
      </c>
      <c r="D38" s="21" t="inlineStr">
        <is>
          <t>Trains Gemini on TPUs, but runs the largest inference estate (Search, ads, Cloud).</t>
        </is>
      </c>
    </row>
    <row r="39" ht="18" customHeight="1">
      <c r="B39" s="9" t="inlineStr">
        <is>
          <t>Amazon</t>
        </is>
      </c>
      <c r="C39" s="62" t="n">
        <v>0.35</v>
      </c>
      <c r="D39" s="21" t="inlineStr">
        <is>
          <t>Hosts large training clusters (Trainium) inside a broad AWS inference-rental business.</t>
        </is>
      </c>
    </row>
    <row r="40" ht="18" customHeight="1">
      <c r="B40" s="9" t="inlineStr">
        <is>
          <t>Meta</t>
        </is>
      </c>
      <c r="C40" s="62" t="n">
        <v>0.45</v>
      </c>
      <c r="D40" s="21" t="inlineStr">
        <is>
          <t>FY26 capex raise is driven by frontier training clusters, on top of ads-ranking inference.</t>
        </is>
      </c>
    </row>
    <row r="41" ht="18" customHeight="1">
      <c r="B41" s="9" t="inlineStr">
        <is>
          <t>Oracle</t>
        </is>
      </c>
      <c r="C41" s="62" t="n">
        <v>0.55</v>
      </c>
      <c r="D41" s="21" t="inlineStr">
        <is>
          <t>Stargate's dedicated OpenAI training data centres run on OCI.</t>
        </is>
      </c>
    </row>
    <row r="42" ht="18" customHeight="1">
      <c r="B42" s="9" t="inlineStr">
        <is>
          <t>SpaceX</t>
        </is>
      </c>
      <c r="C42" s="62" t="n">
        <v>0.5</v>
      </c>
      <c r="D42" s="21" t="inlineStr">
        <is>
          <t>Greenfield build (Colossus); early workloads are training-heavy.</t>
        </is>
      </c>
    </row>
    <row r="43"/>
    <row r="44" ht="20" customHeight="1">
      <c r="A44" s="5" t="inlineStr">
        <is>
          <t>FINE PRINT</t>
        </is>
      </c>
      <c r="B44" s="6" t="n"/>
      <c r="C44" s="6" t="n"/>
      <c r="D44" s="6" t="n"/>
      <c r="E44" s="6" t="n"/>
      <c r="F44" s="6" t="n"/>
      <c r="G44" s="6" t="n"/>
      <c r="H44" s="6" t="n"/>
    </row>
    <row r="45" ht="18" customHeight="1">
      <c r="A45" s="63" t="inlineStr">
        <is>
          <t>•</t>
        </is>
      </c>
      <c r="B45" s="3" t="inlineStr">
        <is>
          <t>Only AI chips and the power they draw are counted. The buildings, power infrastructure and networking around them would shrink too — upside, not in these numbers.</t>
        </is>
      </c>
    </row>
    <row r="46" ht="18" customHeight="1">
      <c r="A46" s="63" t="inlineStr">
        <is>
          <t>•</t>
        </is>
      </c>
      <c r="B46" s="3" t="inlineStr">
        <is>
          <t>Training is priced on GPU-hours only; no memory credit is taken on training clusters.</t>
        </is>
      </c>
    </row>
    <row r="47" ht="33" customHeight="1">
      <c r="A47" s="63" t="inlineStr">
        <is>
          <t>•</t>
        </is>
      </c>
      <c r="B47" s="3" t="inlineStr">
        <is>
          <t>H4 (×2,032) is measured on our test model; for frontier-size models with grouped-query attention the estimate is ~×208, where memory would bind again (about −$0.5B on FY2026). H6 is an estimate until the aggregate-decode receipt lands (×2.6 measured on our older kernels).</t>
        </is>
      </c>
    </row>
    <row r="48" ht="33" customHeight="1">
      <c r="A48" s="63" t="inlineStr">
        <is>
          <t>•</t>
        </is>
      </c>
      <c r="B48" s="3" t="inlineStr">
        <is>
          <t>H1 is a projection: quality trends measured up to 663M parameters, extended to ~1T dense-equivalent — about what today's 5–6T-total mixture-of-experts flagships (Grok 5 at 6T, Kimi K3 at 2.8T) amount to.</t>
        </is>
      </c>
    </row>
    <row r="49" ht="18" customHeight="1">
      <c r="A49" s="63" t="inlineStr">
        <is>
          <t>•</t>
        </is>
      </c>
      <c r="B49" s="3" t="inlineStr">
        <is>
          <t>The saving is spend no longer needed for the same AI output; firms will likely reinvest it. Cash basis; 'capitalized' = yearly saving ÷ discount rate (6%, roughly the long-bond yield).</t>
        </is>
      </c>
    </row>
  </sheetData>
  <mergeCells count="37">
    <mergeCell ref="D20:H20"/>
    <mergeCell ref="F33:H33"/>
    <mergeCell ref="B49:H49"/>
    <mergeCell ref="D19:H19"/>
    <mergeCell ref="F32:H32"/>
    <mergeCell ref="F26:H26"/>
    <mergeCell ref="D22:H22"/>
    <mergeCell ref="D31:E31"/>
    <mergeCell ref="D40:H40"/>
    <mergeCell ref="B45:H45"/>
    <mergeCell ref="B36:H36"/>
    <mergeCell ref="D21:H21"/>
    <mergeCell ref="F28:H28"/>
    <mergeCell ref="F31:H31"/>
    <mergeCell ref="F27:H27"/>
    <mergeCell ref="D27:E27"/>
    <mergeCell ref="B47:H47"/>
    <mergeCell ref="D32:E32"/>
    <mergeCell ref="D41:H41"/>
    <mergeCell ref="B46:H46"/>
    <mergeCell ref="A2:H2"/>
    <mergeCell ref="D28:E28"/>
    <mergeCell ref="D37:H37"/>
    <mergeCell ref="B48:H48"/>
    <mergeCell ref="D4:H4"/>
    <mergeCell ref="F29:H29"/>
    <mergeCell ref="D18:H18"/>
    <mergeCell ref="D39:H39"/>
    <mergeCell ref="D30:E30"/>
    <mergeCell ref="D33:E33"/>
    <mergeCell ref="D42:H42"/>
    <mergeCell ref="D29:E29"/>
    <mergeCell ref="D5:H5"/>
    <mergeCell ref="D23:H23"/>
    <mergeCell ref="D38:H38"/>
    <mergeCell ref="F30:H30"/>
    <mergeCell ref="D26:E26"/>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46"/>
  <sheetViews>
    <sheetView workbookViewId="0">
      <pane ySplit="4" topLeftCell="A5" activePane="bottomLeft" state="frozen"/>
      <selection pane="bottomLeft" activeCell="A1" sqref="A1"/>
    </sheetView>
  </sheetViews>
  <sheetFormatPr baseColWidth="8" defaultRowHeight="15"/>
  <cols>
    <col width="4" customWidth="1" min="1" max="1"/>
    <col width="44" customWidth="1" min="2" max="2"/>
    <col width="17" customWidth="1" min="3" max="3"/>
    <col width="13" customWidth="1" min="4" max="4"/>
    <col width="12" customWidth="1" min="5" max="5"/>
    <col width="13" customWidth="1" min="6" max="6"/>
    <col width="12" customWidth="1" min="7" max="7"/>
    <col width="62" customWidth="1" min="8" max="8"/>
  </cols>
  <sheetData>
    <row r="1" ht="30" customHeight="1">
      <c r="A1" s="1" t="inlineStr">
        <is>
          <t>WHAT MATTERS — which inputs move the answer, and by how much</t>
        </is>
      </c>
      <c r="B1" s="2" t="n"/>
      <c r="C1" s="2" t="n"/>
      <c r="D1" s="2" t="n"/>
      <c r="E1" s="2" t="n"/>
      <c r="F1" s="2" t="n"/>
      <c r="G1" s="2" t="n"/>
      <c r="H1" s="2" t="n"/>
    </row>
    <row r="2" ht="33" customHeight="1">
      <c r="A2" s="3" t="inlineStr">
        <is>
          <t>Each row moves ONE input to a plausible low and high value, everything else at the defaults, and shows the change in the FY2026 saving ($377B/yr). ★ = moves it by $10B or more. Values computed from the model at the defaults when this workbook was built.</t>
        </is>
      </c>
    </row>
    <row r="3"/>
    <row r="4" ht="33" customHeight="1">
      <c r="A4" s="7" t="inlineStr">
        <is>
          <t>★</t>
        </is>
      </c>
      <c r="B4" s="8" t="inlineStr">
        <is>
          <t>Input</t>
        </is>
      </c>
      <c r="C4" s="8" t="inlineStr">
        <is>
          <t>Where to edit</t>
        </is>
      </c>
      <c r="D4" s="8" t="inlineStr">
        <is>
          <t>Low case</t>
        </is>
      </c>
      <c r="E4" s="8" t="inlineStr">
        <is>
          <t>FY26 change</t>
        </is>
      </c>
      <c r="F4" s="8" t="inlineStr">
        <is>
          <t>High case</t>
        </is>
      </c>
      <c r="G4" s="8" t="inlineStr">
        <is>
          <t>FY26 change</t>
        </is>
      </c>
      <c r="H4" s="8" t="inlineStr">
        <is>
          <t>Why it matters</t>
        </is>
      </c>
    </row>
    <row r="5">
      <c r="A5" s="64" t="n"/>
      <c r="B5" s="65" t="inlineStr">
        <is>
          <t>Helarctos levers</t>
        </is>
      </c>
      <c r="C5" s="66" t="inlineStr">
        <is>
          <t>what the architecture changes</t>
        </is>
      </c>
      <c r="D5" s="64" t="n"/>
      <c r="E5" s="64" t="n"/>
      <c r="F5" s="64" t="n"/>
      <c r="G5" s="64" t="n"/>
      <c r="H5" s="64" t="n"/>
    </row>
    <row r="6" ht="78" customHeight="1">
      <c r="A6" s="67" t="inlineStr">
        <is>
          <t>★</t>
        </is>
      </c>
      <c r="B6" s="22" t="inlineStr">
        <is>
          <t>H1 + H2 · Smaller model, trained on fewer tokens ★</t>
        </is>
      </c>
      <c r="C6" s="14" t="inlineStr">
        <is>
          <t>Inputs B23</t>
        </is>
      </c>
      <c r="D6" s="68" t="inlineStr">
        <is>
          <t>×2</t>
        </is>
      </c>
      <c r="E6" s="69" t="n">
        <v>-27.97081728933068</v>
      </c>
      <c r="F6" s="68" t="inlineStr">
        <is>
          <t>×5.7 (5T dense)</t>
        </is>
      </c>
      <c r="G6" s="69" t="n">
        <v>3.617436659799012</v>
      </c>
      <c r="H6" s="70" t="inlineStr">
        <is>
          <t>The biggest Helarctos-specific assumption: it drives the whole training saving (smaller model × fewer tokens). A projection from models up to 663M parameters to ~1T dense-equivalent (today's 5–6T mixture-of-experts flagships). High case: a 5T dense model.</t>
        </is>
      </c>
    </row>
    <row r="7" ht="33" customHeight="1">
      <c r="A7" s="67" t="inlineStr"/>
      <c r="B7" s="22" t="inlineStr">
        <is>
          <t>H3 · Training speed per token (same model size) ◆</t>
        </is>
      </c>
      <c r="C7" s="14" t="inlineStr">
        <is>
          <t>Levers D11/E11</t>
        </is>
      </c>
      <c r="D7" s="68" t="inlineStr">
        <is>
          <t>×0.6</t>
        </is>
      </c>
      <c r="E7" s="71" t="n">
        <v>-5.406659527589568</v>
      </c>
      <c r="F7" s="68" t="inlineStr">
        <is>
          <t>×2</t>
        </is>
      </c>
      <c r="G7" s="71" t="n">
        <v>4.054994645692091</v>
      </c>
      <c r="H7" s="70" t="inlineStr">
        <is>
          <t>Set to ×1 (about the same). Small effect: the smaller model already removes ~94% of training GPU-hours.</t>
        </is>
      </c>
    </row>
    <row r="8" ht="48" customHeight="1">
      <c r="A8" s="67" t="inlineStr"/>
      <c r="B8" s="22" t="inlineStr">
        <is>
          <t>H5 · More conversations per GPU</t>
        </is>
      </c>
      <c r="C8" s="14" t="inlineStr">
        <is>
          <t>Inputs B28</t>
        </is>
      </c>
      <c r="D8" s="68" t="inlineStr">
        <is>
          <t>×16</t>
        </is>
      </c>
      <c r="E8" s="71" t="n">
        <v>-1.80483192495268</v>
      </c>
      <c r="F8" s="68" t="inlineStr">
        <is>
          <t>×128</t>
        </is>
      </c>
      <c r="G8" s="71" t="n">
        <v>0.3008053208254751</v>
      </c>
      <c r="H8" s="70" t="inlineStr">
        <is>
          <t>How many long conversations one GPU holds at once (64 vs the transformer's 1, measured). Small effect: inference GPUs already shrink by ~99.7%, so even ×16 costs under $2B.</t>
        </is>
      </c>
    </row>
    <row r="9" ht="63" customHeight="1">
      <c r="A9" s="67" t="inlineStr"/>
      <c r="B9" s="22" t="inlineStr">
        <is>
          <t>H6 · Faster decode per token</t>
        </is>
      </c>
      <c r="C9" s="14" t="inlineStr">
        <is>
          <t>Inputs B29</t>
        </is>
      </c>
      <c r="D9" s="68" t="inlineStr">
        <is>
          <t>×2.6 (measured, older kernels)</t>
        </is>
      </c>
      <c r="E9" s="71" t="n">
        <v>-0.8450162929477756</v>
      </c>
      <c r="F9" s="68" t="inlineStr">
        <is>
          <t>×12</t>
        </is>
      </c>
      <c r="G9" s="71" t="n">
        <v>0.2881748058211429</v>
      </c>
      <c r="H9" s="70" t="inlineStr">
        <is>
          <t>Per-token decode speed-up (×6.3 estimate after the kernel edits; ×2.6 measured on our older kernels). With memory no longer the limit it counts in the dollars — but only ~$1B across the range.</t>
        </is>
      </c>
    </row>
    <row r="10" ht="48" customHeight="1">
      <c r="A10" s="67" t="inlineStr"/>
      <c r="B10" s="22" t="inlineStr">
        <is>
          <t>H4 · Memory per live conversation</t>
        </is>
      </c>
      <c r="C10" s="14" t="inlineStr">
        <is>
          <t>Inputs B2</t>
        </is>
      </c>
      <c r="D10" s="68" t="inlineStr">
        <is>
          <t>÷208 (frontier-model geometry)</t>
        </is>
      </c>
      <c r="E10" s="71" t="n">
        <v>-0.5033745155576526</v>
      </c>
      <c r="F10" s="68" t="inlineStr">
        <is>
          <t>÷8,000</t>
        </is>
      </c>
      <c r="G10" s="71" t="n">
        <v>0</v>
      </c>
      <c r="H10" s="70" t="inlineStr">
        <is>
          <t>Measured ×2,032 at 262k on our test model. Caveat: for frontier-size models with grouped-query attention the frontier-geometry estimate is ~÷208, where memory would bind again (≈ −$0.5B).</t>
        </is>
      </c>
    </row>
    <row r="11">
      <c r="A11" s="72" t="n"/>
      <c r="B11" s="73" t="inlineStr">
        <is>
          <t>Market &amp; company data</t>
        </is>
      </c>
      <c r="C11" s="74" t="inlineStr">
        <is>
          <t>not about Helarctos</t>
        </is>
      </c>
      <c r="D11" s="72" t="n"/>
      <c r="E11" s="72" t="n"/>
      <c r="F11" s="72" t="n"/>
      <c r="G11" s="72" t="n"/>
      <c r="H11" s="72" t="n"/>
    </row>
    <row r="12" ht="48" customHeight="1">
      <c r="A12" s="67" t="inlineStr">
        <is>
          <t>★</t>
        </is>
      </c>
      <c r="B12" s="48" t="inlineStr">
        <is>
          <t>Accelerator share of servers</t>
        </is>
      </c>
      <c r="C12" s="14" t="inlineStr">
        <is>
          <t>company tabs, row 6</t>
        </is>
      </c>
      <c r="D12" s="68" t="inlineStr">
        <is>
          <t>−15%</t>
        </is>
      </c>
      <c r="E12" s="69" t="n">
        <v>-56.5247262546215</v>
      </c>
      <c r="F12" s="68" t="inlineStr">
        <is>
          <t>+15%</t>
        </is>
      </c>
      <c r="G12" s="69" t="n">
        <v>49.94430603739391</v>
      </c>
      <c r="H12" s="70" t="inlineStr">
        <is>
          <t>The GPU/TPU share of server spend — same one-for-one effect. From chip and server teardowns (67–80%; a GB200 rack's GPUs are ~75–80% of its price).</t>
        </is>
      </c>
    </row>
    <row r="13" ht="63" customHeight="1">
      <c r="A13" s="67" t="inlineStr">
        <is>
          <t>★</t>
        </is>
      </c>
      <c r="B13" s="48" t="inlineStr">
        <is>
          <t>Server share of AI capex</t>
        </is>
      </c>
      <c r="C13" s="14" t="inlineStr">
        <is>
          <t>company tabs, row 5</t>
        </is>
      </c>
      <c r="D13" s="68" t="inlineStr">
        <is>
          <t>−15%</t>
        </is>
      </c>
      <c r="E13" s="69" t="n">
        <v>-56.52472625462144</v>
      </c>
      <c r="F13" s="68" t="inlineStr">
        <is>
          <t>+15%</t>
        </is>
      </c>
      <c r="G13" s="69" t="n">
        <v>56.52472625462133</v>
      </c>
      <c r="H13" s="70" t="inlineStr">
        <is>
          <t>How much AI capex buys servers rather than buildings, power and networking. Helarctos shrinks the chip bill, so the dollars move one-for-one with it. CFO-disclosed for Microsoft and Alphabet.</t>
        </is>
      </c>
    </row>
    <row r="14" ht="48" customHeight="1">
      <c r="A14" s="67" t="inlineStr">
        <is>
          <t>★</t>
        </is>
      </c>
      <c r="B14" s="48" t="inlineStr">
        <is>
          <t>Data-center share of capex</t>
        </is>
      </c>
      <c r="C14" s="14" t="inlineStr">
        <is>
          <t>company tabs, row 4</t>
        </is>
      </c>
      <c r="D14" s="68" t="inlineStr">
        <is>
          <t>−5%</t>
        </is>
      </c>
      <c r="E14" s="69" t="n">
        <v>-18.84157541820713</v>
      </c>
      <c r="F14" s="68" t="inlineStr">
        <is>
          <t>+5%</t>
        </is>
      </c>
      <c r="G14" s="69" t="n">
        <v>12.89835865233874</v>
      </c>
      <c r="H14" s="70" t="inlineStr">
        <is>
          <t>Share of capex that goes into data centres rather than offices and other assets. From 10-K/10-Q property notes (93–98%; Amazon's AWS share 68–76%).</t>
        </is>
      </c>
    </row>
    <row r="15" ht="18" customHeight="1">
      <c r="A15" s="67" t="inlineStr"/>
      <c r="B15" s="14" t="inlineStr">
        <is>
          <t>Electricity rate</t>
        </is>
      </c>
      <c r="C15" s="14" t="inlineStr">
        <is>
          <t>Inputs B9</t>
        </is>
      </c>
      <c r="D15" s="68" t="inlineStr">
        <is>
          <t>$0.05</t>
        </is>
      </c>
      <c r="E15" s="71" t="n">
        <v>-5.473731440753966</v>
      </c>
      <c r="F15" s="68" t="inlineStr">
        <is>
          <t>$0.12</t>
        </is>
      </c>
      <c r="G15" s="71" t="n">
        <v>7.298308587671897</v>
      </c>
      <c r="H15" s="70" t="inlineStr">
        <is>
          <t>Only changes the power part of the saving (~4% of the total).</t>
        </is>
      </c>
    </row>
    <row r="16" ht="18" customHeight="1">
      <c r="A16" s="67" t="inlineStr"/>
      <c r="B16" s="14" t="inlineStr">
        <is>
          <t>Wall power per GPU</t>
        </is>
      </c>
      <c r="C16" s="14" t="inlineStr">
        <is>
          <t>Inputs B8</t>
        </is>
      </c>
      <c r="D16" s="68" t="inlineStr">
        <is>
          <t>1.5 kW</t>
        </is>
      </c>
      <c r="E16" s="71" t="n">
        <v>-5.077084234902202</v>
      </c>
      <c r="F16" s="68" t="inlineStr">
        <is>
          <t>3.0 kW</t>
        </is>
      </c>
      <c r="G16" s="71" t="n">
        <v>4.442448705539391</v>
      </c>
      <c r="H16" s="70" t="inlineStr">
        <is>
          <t>Only changes the power part of the saving (~4% of the total).</t>
        </is>
      </c>
    </row>
    <row r="17" ht="33" customHeight="1">
      <c r="A17" s="67" t="inlineStr"/>
      <c r="B17" s="14" t="inlineStr">
        <is>
          <t>Training share of the chip fleet</t>
        </is>
      </c>
      <c r="C17" s="14" t="inlineStr">
        <is>
          <t>Levers C37:C42</t>
        </is>
      </c>
      <c r="D17" s="68" t="inlineStr">
        <is>
          <t>all 20%</t>
        </is>
      </c>
      <c r="E17" s="71" t="n">
        <v>3.593818593081949</v>
      </c>
      <c r="F17" s="68" t="inlineStr">
        <is>
          <t>all 60%</t>
        </is>
      </c>
      <c r="G17" s="71" t="n">
        <v>-4.654316912664399</v>
      </c>
      <c r="H17" s="70" t="inlineStr">
        <is>
          <t>Small effect: both fleets shrink by 94–99%, so moving spend between them barely changes the total.</t>
        </is>
      </c>
    </row>
    <row r="18" ht="48" customHeight="1">
      <c r="A18" s="67" t="inlineStr"/>
      <c r="B18" s="14" t="inlineStr">
        <is>
          <t>Average conversation length</t>
        </is>
      </c>
      <c r="C18" s="14" t="inlineStr">
        <is>
          <t>262k default (app: sidebar)</t>
        </is>
      </c>
      <c r="D18" s="68" t="inlineStr">
        <is>
          <t>32k</t>
        </is>
      </c>
      <c r="E18" s="71" t="n">
        <v>-4.417737248854849</v>
      </c>
      <c r="F18" s="68" t="inlineStr">
        <is>
          <t>262k (default)</t>
        </is>
      </c>
      <c r="G18" s="71" t="n">
        <v>0</v>
      </c>
      <c r="H18" s="70" t="inlineStr">
        <is>
          <t>Shorter conversations shrink both the memory advantage and tokens per GPU (×48 at 32k). The workbook is fixed at 262k; the app's sidebar lets you change it.</t>
        </is>
      </c>
    </row>
    <row r="19" ht="33" customHeight="1">
      <c r="A19" s="67" t="inlineStr"/>
      <c r="B19" s="14" t="inlineStr">
        <is>
          <t>Memory share of GPU cost</t>
        </is>
      </c>
      <c r="C19" s="14" t="inlineStr">
        <is>
          <t>Inputs B4</t>
        </is>
      </c>
      <c r="D19" s="68" t="inlineStr">
        <is>
          <t>40%</t>
        </is>
      </c>
      <c r="E19" s="71" t="n">
        <v>0</v>
      </c>
      <c r="F19" s="68" t="inlineStr">
        <is>
          <t>80%</t>
        </is>
      </c>
      <c r="G19" s="71" t="n">
        <v>0</v>
      </c>
      <c r="H19" s="70" t="inlineStr">
        <is>
          <t>No effect on the front tabs (GPUs are bought whole); under $1B on the technical Totals tab.</t>
        </is>
      </c>
    </row>
    <row r="20"/>
    <row r="21"/>
    <row r="22"/>
    <row r="23"/>
    <row r="24"/>
    <row r="25"/>
    <row r="26"/>
    <row r="27"/>
    <row r="28"/>
    <row r="29"/>
    <row r="30"/>
    <row r="31"/>
    <row r="32"/>
    <row r="33"/>
    <row r="34"/>
    <row r="35"/>
    <row r="36"/>
    <row r="37"/>
    <row r="38"/>
    <row r="39"/>
    <row r="40"/>
    <row r="41"/>
    <row r="42" ht="20" customHeight="1">
      <c r="A42" s="5" t="inlineStr">
        <is>
          <t>CAPITALIZED VALUE ONLY</t>
        </is>
      </c>
      <c r="B42" s="6" t="n"/>
      <c r="C42" s="6" t="n"/>
      <c r="D42" s="6" t="n"/>
      <c r="E42" s="6" t="n"/>
      <c r="F42" s="6" t="n"/>
      <c r="G42" s="6" t="n"/>
      <c r="H42" s="6" t="n"/>
    </row>
    <row r="43" ht="18" customHeight="1">
      <c r="A43" s="3" t="inlineStr">
        <is>
          <t>★ The discount rate (Inputs B6) doesn't change the yearly saving, only its capitalized value: $9.4T at 4%, $6.3T at 6% (default), $3.8T at 10% (FY2026).</t>
        </is>
      </c>
    </row>
    <row r="44"/>
    <row r="45" ht="20" customHeight="1">
      <c r="A45" s="5" t="inlineStr">
        <is>
          <t>TAKEAWAY</t>
        </is>
      </c>
      <c r="B45" s="6" t="n"/>
      <c r="C45" s="6" t="n"/>
      <c r="D45" s="6" t="n"/>
      <c r="E45" s="6" t="n"/>
      <c r="F45" s="6" t="n"/>
      <c r="G45" s="6" t="n"/>
      <c r="H45" s="6" t="n"/>
    </row>
    <row r="46" ht="33" customHeight="1">
      <c r="A46" s="3" t="inlineStr">
        <is>
          <t>The answer is driven by how much these firms spend on AI chips (the market &amp; company shares) more than by how large the Helarctos multiples are. The Helarctos levers move it only if they fall far below today's values — e.g. a smaller-model advantage of ×2 instead of ×4.2.</t>
        </is>
      </c>
    </row>
  </sheetData>
  <mergeCells count="3">
    <mergeCell ref="A46:H46"/>
    <mergeCell ref="A43:H43"/>
    <mergeCell ref="A2:H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MICROSOFT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4" t="inlineStr">
        <is>
          <t>Total capex ($B)</t>
        </is>
      </c>
      <c r="B3" s="75" t="n">
        <v>88</v>
      </c>
      <c r="C3" s="76"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ht="48" customHeight="1">
      <c r="A4" s="44" t="inlineStr">
        <is>
          <t>Infra / data-center share ★</t>
        </is>
      </c>
      <c r="B4" s="77" t="n">
        <v>0.97</v>
      </c>
      <c r="C4" s="77" t="n">
        <v>0.97</v>
      </c>
      <c r="D4" s="3" t="inlineStr">
        <is>
          <t>FILING: P&amp;E note (FY25/FY26 10-K). Leasehold improvements, the only non-datacenter class, are $2.5B of $86.6B (FY25) and $4.2B of $133.1B (FY26) of gross additions -&gt; 97%.</t>
        </is>
      </c>
    </row>
    <row r="5" ht="18" customHeight="1">
      <c r="A5" s="44" t="inlineStr">
        <is>
          <t>Server / short-lived share ★</t>
        </is>
      </c>
      <c r="B5" s="77" t="n">
        <v>0.5</v>
      </c>
      <c r="C5" s="77" t="n">
        <v>0.67</v>
      </c>
      <c r="D5" s="3" t="inlineStr">
        <is>
          <t>CFO-disclosed (MSFT rose 50%-&gt;67%)</t>
        </is>
      </c>
    </row>
    <row r="6" ht="18" customHeight="1">
      <c r="A6" s="44" t="inlineStr">
        <is>
          <t>Accelerator share within servers ★</t>
        </is>
      </c>
      <c r="B6" s="77" t="n">
        <v>0.75</v>
      </c>
      <c r="C6" s="77" t="n">
        <v>0.75</v>
      </c>
      <c r="D6" s="3" t="inlineStr">
        <is>
          <t>from BOM teardowns (~67-80%)</t>
        </is>
      </c>
    </row>
    <row r="7" ht="18" customHeight="1">
      <c r="A7" s="44" t="inlineStr">
        <is>
          <t>Market cap ($B, approx)</t>
        </is>
      </c>
      <c r="B7" s="78" t="n">
        <v>3700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30</v>
      </c>
      <c r="C32" s="76" t="n">
        <v>50</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&gt;$88B incl leases; server life 2-6yr (FY25 10-K)</t>
        </is>
      </c>
      <c r="B41" s="85" t="inlineStr">
        <is>
          <t>https://www.sec.gov/Archives/edgar/data/789019/000095017025100235/msft-20250630.htm</t>
        </is>
      </c>
    </row>
    <row r="42" ht="48" customHeight="1">
      <c r="A42" s="3" t="inlineStr">
        <is>
          <t>FY26 ~$190B guide; 'two-thirds' short-lived = GPUs+CPUs (Q3 FY26 call)</t>
        </is>
      </c>
      <c r="B42" s="85" t="inlineStr">
        <is>
          <t>https://www.fool.com/earnings/call-transcripts/2026/04/29/microsoft-msft-q3-2026-earnings-transcript/</t>
        </is>
      </c>
    </row>
    <row r="43" ht="33" customHeight="1">
      <c r="A43" s="3" t="inlineStr">
        <is>
          <t>AI revenue $37B annual run-rate (Q3 FY26)</t>
        </is>
      </c>
      <c r="B43" s="85" t="inlineStr">
        <is>
          <t>https://news.alphastreet.com/microsoft-msft-q3-fy2026-azure-hits-40-growth-as-ai-business-reaches-37-billion-run-rate/</t>
        </is>
      </c>
    </row>
    <row r="44" ht="33" customHeight="1">
      <c r="A44" s="3" t="inlineStr">
        <is>
          <t>~485k Hopper GPUs / ~$31B in 2024 (Omdia) - cross-checks accel capex</t>
        </is>
      </c>
      <c r="B44" s="85"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ALPHABET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48" customHeight="1">
      <c r="A3" s="44" t="inlineStr">
        <is>
          <t>Total capex ($B)</t>
        </is>
      </c>
      <c r="B3" s="75" t="n">
        <v>91.40000000000001</v>
      </c>
      <c r="C3" s="76" t="n">
        <v>185</v>
      </c>
      <c r="D3" s="3" t="inlineStr">
        <is>
          <t>FY25 capex $91.4B [DISCLOSED]; FY26 $180-190B guide. 60% servers / 40% DC (CFO). Accel ~67% [BOM]. AI rev ESTIMATE (Cloud $70B run-rate, AI subset).</t>
        </is>
      </c>
    </row>
    <row r="4" ht="48" customHeight="1">
      <c r="A4" s="44" t="inlineStr">
        <is>
          <t>Infra / data-center share ★</t>
        </is>
      </c>
      <c r="B4" s="77" t="n">
        <v>0.93</v>
      </c>
      <c r="C4" s="77" t="n">
        <v>0.95</v>
      </c>
      <c r="D4" s="3" t="inlineStr">
        <is>
          <t>FILING: P&amp;E note. Technical infrastructure +$61.8B vs office space +$2.9B and corporate +$1.9B in 2025 (10-K) -&gt; 93%; +$43.5B vs +$2.3B office in H1 2026 (10-Q) -&gt; 95%.</t>
        </is>
      </c>
    </row>
    <row r="5" ht="18" customHeight="1">
      <c r="A5" s="44" t="inlineStr">
        <is>
          <t>Server / short-lived share ★</t>
        </is>
      </c>
      <c r="B5" s="77" t="n">
        <v>0.6</v>
      </c>
      <c r="C5" s="77" t="n">
        <v>0.6</v>
      </c>
      <c r="D5" s="3" t="inlineStr">
        <is>
          <t>CFO-disclosed (MSFT rose 50%-&gt;67%)</t>
        </is>
      </c>
    </row>
    <row r="6" ht="18" customHeight="1">
      <c r="A6" s="44" t="inlineStr">
        <is>
          <t>Accelerator share within servers ★</t>
        </is>
      </c>
      <c r="B6" s="77" t="n">
        <v>0.67</v>
      </c>
      <c r="C6" s="77" t="n">
        <v>0.67</v>
      </c>
      <c r="D6" s="3" t="inlineStr">
        <is>
          <t>from BOM teardowns (~67-80%)</t>
        </is>
      </c>
    </row>
    <row r="7" ht="18" customHeight="1">
      <c r="A7" s="44" t="inlineStr">
        <is>
          <t>Market cap ($B, approx)</t>
        </is>
      </c>
      <c r="B7" s="78" t="n">
        <v>4250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25</v>
      </c>
      <c r="C32" s="76" t="n">
        <v>40</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$91.4B; CFO 60% servers / 40% DC+net (Q4'25 call)</t>
        </is>
      </c>
      <c r="B41" s="85" t="inlineStr">
        <is>
          <t>https://www.fool.com/earnings/call-transcripts/2026/02/04/alphabet-googl-q4-2025-earnings-call-transcript/</t>
        </is>
      </c>
    </row>
    <row r="42" ht="18" customHeight="1">
      <c r="A42" s="3" t="inlineStr">
        <is>
          <t>FY26 guide $180-190B (Q1'26)</t>
        </is>
      </c>
      <c r="B42" s="85" t="inlineStr">
        <is>
          <t>https://www.cnbc.com/2026/04/29/alphabet-googl-q1-2026-earnings.html</t>
        </is>
      </c>
    </row>
    <row r="43" ht="33" customHeight="1">
      <c r="A43" s="3" t="inlineStr">
        <is>
          <t>Server life 6yr; TPU at-cost TCO 20-50% below NVIDIA (SemiAnalysis)</t>
        </is>
      </c>
      <c r="B43" s="85"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AMAZON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4" t="inlineStr">
        <is>
          <t>Total capex ($B)</t>
        </is>
      </c>
      <c r="B3" s="75" t="n">
        <v>128.3</v>
      </c>
      <c r="C3" s="76" t="n">
        <v>220</v>
      </c>
      <c r="D3" s="3" t="inlineStr">
        <is>
          <t>FY25 cash capex $128.3B [DISCLOSED]; FY26 raised to ~$220B (Q2'26, 2026-07-30). AWS ~68-70% -&gt; strips fulfillment. Accel ~67% [BOM]. AI rev &gt;$15B AWS run-rate (Q1 FY26, Jassy).</t>
        </is>
      </c>
    </row>
    <row r="4" ht="48" customHeight="1">
      <c r="A4" s="44" t="inlineStr">
        <is>
          <t>Infra / data-center share ★</t>
        </is>
      </c>
      <c r="B4" s="77" t="n">
        <v>0.68</v>
      </c>
      <c r="C4" s="77" t="n">
        <v>0.76</v>
      </c>
      <c r="D4" s="3" t="inlineStr">
        <is>
          <t>FILING: segment note, AWS share of net P&amp;E additions. $96.5B of $142.4B in 2025 (10-K) -&gt; 68%; $90.1B of $118.6B in H1 2026 (10-Q) -&gt; 76%. Strips fulfillment/logistics.</t>
        </is>
      </c>
    </row>
    <row r="5" ht="18" customHeight="1">
      <c r="A5" s="44" t="inlineStr">
        <is>
          <t>Server / short-lived share ★</t>
        </is>
      </c>
      <c r="B5" s="77" t="n">
        <v>0.65</v>
      </c>
      <c r="C5" s="77" t="n">
        <v>0.65</v>
      </c>
      <c r="D5" s="3" t="inlineStr">
        <is>
          <t>CFO-disclosed (MSFT rose 50%-&gt;67%)</t>
        </is>
      </c>
    </row>
    <row r="6" ht="18" customHeight="1">
      <c r="A6" s="44" t="inlineStr">
        <is>
          <t>Accelerator share within servers ★</t>
        </is>
      </c>
      <c r="B6" s="77" t="n">
        <v>0.67</v>
      </c>
      <c r="C6" s="77" t="n">
        <v>0.67</v>
      </c>
      <c r="D6" s="3" t="inlineStr">
        <is>
          <t>from BOM teardowns (~67-80%)</t>
        </is>
      </c>
    </row>
    <row r="7" ht="18" customHeight="1">
      <c r="A7" s="44" t="inlineStr">
        <is>
          <t>Market cap ($B, approx)</t>
        </is>
      </c>
      <c r="B7" s="78" t="n">
        <v>2830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12</v>
      </c>
      <c r="C32" s="76" t="n">
        <v>22</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48" customHeight="1">
      <c r="A41" s="3" t="inlineStr">
        <is>
          <t>FY25 cash capex $128.3B; AWS 67.8% of net P&amp;E adds; server life 6-&gt;5yr (FY25 10-K)</t>
        </is>
      </c>
      <c r="B41" s="85" t="inlineStr">
        <is>
          <t>https://www.sec.gov/Archives/edgar/data/1018724/000101872426000004/amzn-20251231.htm</t>
        </is>
      </c>
    </row>
    <row r="42" ht="33" customHeight="1">
      <c r="A42" s="3" t="inlineStr">
        <is>
          <t>~$200B 2026 capex, 'predominantly AWS' (Q4'25 call)</t>
        </is>
      </c>
      <c r="B42" s="85" t="inlineStr">
        <is>
          <t>https://www.fool.com/earnings/call-transcripts/2026/02/05/amazon-amzn-q4-2025-earnings-call-transcript/</t>
        </is>
      </c>
    </row>
    <row r="43" ht="33" customHeight="1">
      <c r="A43" s="3" t="inlineStr">
        <is>
          <t>AWS AI revenue &gt;$15B annual run-rate (Q1'26, Jassy)</t>
        </is>
      </c>
      <c r="B43" s="85"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META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63" customHeight="1">
      <c r="A3" s="44" t="inlineStr">
        <is>
          <t>Total capex ($B)</t>
        </is>
      </c>
      <c r="B3" s="75" t="n">
        <v>72.2</v>
      </c>
      <c r="C3" s="76" t="n">
        <v>137.5</v>
      </c>
      <c r="D3" s="3" t="inlineStr">
        <is>
          <t>FY25 capex incl leases $72.2B [DISCLOSED]; FY26 $130-145B guide (mid 137.5). Accel ~74% [BOM]. AI rev DIRECT est ~$4B -- Meta's real AI payoff is INDIRECT ad-uplift (~$20B), not counted.</t>
        </is>
      </c>
    </row>
    <row r="4" ht="48" customHeight="1">
      <c r="A4" s="44" t="inlineStr">
        <is>
          <t>Infra / data-center share ★</t>
        </is>
      </c>
      <c r="B4" s="77" t="n">
        <v>0.95</v>
      </c>
      <c r="C4" s="77" t="n">
        <v>0.98</v>
      </c>
      <c r="D4" s="3" t="inlineStr">
        <is>
          <t>FILING: Note 6 P&amp;E. Leasehold improvements + equipment and other are $3.3B of $69.1B gross additions in 2025 (10-K) -&gt; 95%; $0.95B of $59.1B in H1 2026 (10-Q) -&gt; 98%.</t>
        </is>
      </c>
    </row>
    <row r="5" ht="18" customHeight="1">
      <c r="A5" s="44" t="inlineStr">
        <is>
          <t>Server / short-lived share ★</t>
        </is>
      </c>
      <c r="B5" s="77" t="n">
        <v>0.65</v>
      </c>
      <c r="C5" s="77" t="n">
        <v>0.65</v>
      </c>
      <c r="D5" s="3" t="inlineStr">
        <is>
          <t>CFO-disclosed (MSFT rose 50%-&gt;67%)</t>
        </is>
      </c>
    </row>
    <row r="6" ht="18" customHeight="1">
      <c r="A6" s="44" t="inlineStr">
        <is>
          <t>Accelerator share within servers ★</t>
        </is>
      </c>
      <c r="B6" s="77" t="n">
        <v>0.74</v>
      </c>
      <c r="C6" s="77" t="n">
        <v>0.74</v>
      </c>
      <c r="D6" s="3" t="inlineStr">
        <is>
          <t>from BOM teardowns (~67-80%)</t>
        </is>
      </c>
    </row>
    <row r="7" ht="18" customHeight="1">
      <c r="A7" s="44" t="inlineStr">
        <is>
          <t>Market cap ($B, approx)</t>
        </is>
      </c>
      <c r="B7" s="78" t="n">
        <v>1490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4</v>
      </c>
      <c r="C32" s="76" t="n">
        <v>8</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$72.2B incl finance leases (Q4/FY25 release)</t>
        </is>
      </c>
      <c r="B41" s="85" t="inlineStr">
        <is>
          <t>https://investor.atmeta.com/investor-news/press-release-details/2026/Meta-Reports-Fourth-Quarter-and-Full-Year-2025-Results/default.aspx</t>
        </is>
      </c>
    </row>
    <row r="42" ht="33" customHeight="1">
      <c r="A42" s="3" t="inlineStr">
        <is>
          <t>FY26 $125-145B guide; raise driven by HBM pricing (Q1'26 call)</t>
        </is>
      </c>
      <c r="B42" s="85" t="inlineStr">
        <is>
          <t>https://www.fool.com/earnings/call-transcripts/2026/04/29/meta-meta-q1-2026-earnings-call-transcript/</t>
        </is>
      </c>
    </row>
    <row r="43" ht="33" customHeight="1">
      <c r="A43" s="3" t="inlineStr">
        <is>
          <t>&gt;1.3M GPUs by end-2025 (Zuckerberg) - cross-checks accel capex</t>
        </is>
      </c>
      <c r="B43" s="85" t="inlineStr">
        <is>
          <t>https://techcrunch.com/2025/01/24/mark-zuckerberg-says-meta-will-have-1-3m-gpus-for-ai-by-year-end/</t>
        </is>
      </c>
    </row>
    <row r="44" ht="33" customHeight="1">
      <c r="A44" s="3" t="inlineStr">
        <is>
          <t>Server life 5.5yr (-$2.9B depreciation)</t>
        </is>
      </c>
      <c r="B44" s="85" t="inlineStr">
        <is>
          <t>https://www.thestack.technology/meta-extends-server-life-again-saving-it-2-9-billion/</t>
        </is>
      </c>
    </row>
    <row r="45" ht="33" customHeight="1">
      <c r="A45" s="3" t="inlineStr">
        <is>
          <t>~25% of capex to NVIDIA (Bloomberg) - accel-share basis</t>
        </is>
      </c>
      <c r="B45" s="85"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ORACLE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78" customHeight="1">
      <c r="A3" s="44" t="inlineStr">
        <is>
          <t>Total capex ($B)</t>
        </is>
      </c>
      <c r="B3" s="75" t="n">
        <v>21.2</v>
      </c>
      <c r="C3" s="76" t="n">
        <v>55.7</v>
      </c>
      <c r="D3" s="3" t="inlineStr">
        <is>
          <t>FY25 capex $21.2B [DISCLOSED 10-K]; FY26 ACTUAL $55.7B (reported 2026-06-10; FY27 guide ~$70B net / up to $95B gross). Capex ~all OCI/GPU data centers. Accel ~70% [BOM]. AI rev = OCI/GPU cloud (IaaS ~$12B r/r Q4 FY25; AI subset, EST).</t>
        </is>
      </c>
    </row>
    <row r="4" ht="63" customHeight="1">
      <c r="A4" s="44" t="inlineStr">
        <is>
          <t>Infra / data-center share ★</t>
        </is>
      </c>
      <c r="B4" s="77" t="n">
        <v>0.85</v>
      </c>
      <c r="C4" s="77" t="n">
        <v>0.9</v>
      </c>
      <c r="D4" s="3" t="inlineStr">
        <is>
          <t>ESTIMATE: the P&amp;E note has no office line (buildings mix datacenters with the Nashville HQ build); capex growth is 'primarily due to the expansion of our data centers' (FY26 10-K).</t>
        </is>
      </c>
    </row>
    <row r="5" ht="18" customHeight="1">
      <c r="A5" s="44" t="inlineStr">
        <is>
          <t>Server / short-lived share ★</t>
        </is>
      </c>
      <c r="B5" s="77" t="n">
        <v>0.75</v>
      </c>
      <c r="C5" s="77" t="n">
        <v>0.75</v>
      </c>
      <c r="D5" s="3" t="inlineStr">
        <is>
          <t>CFO-disclosed (MSFT rose 50%-&gt;67%)</t>
        </is>
      </c>
    </row>
    <row r="6" ht="18" customHeight="1">
      <c r="A6" s="44" t="inlineStr">
        <is>
          <t>Accelerator share within servers ★</t>
        </is>
      </c>
      <c r="B6" s="77" t="n">
        <v>0.7</v>
      </c>
      <c r="C6" s="77" t="n">
        <v>0.7</v>
      </c>
      <c r="D6" s="3" t="inlineStr">
        <is>
          <t>from BOM teardowns (~67-80%)</t>
        </is>
      </c>
    </row>
    <row r="7" ht="18" customHeight="1">
      <c r="A7" s="44" t="inlineStr">
        <is>
          <t>Market cap ($B, approx)</t>
        </is>
      </c>
      <c r="B7" s="78" t="n">
        <v>433</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8</v>
      </c>
      <c r="C32" s="76" t="n">
        <v>15</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$21.2B; FY26 ~$50B guide on $67B rev (CIO Dive)</t>
        </is>
      </c>
      <c r="B41" s="85" t="inlineStr">
        <is>
          <t>https://www.ciodive.com/news/oracle-capex-spike-cloud-ai-data-center/807721/</t>
        </is>
      </c>
    </row>
    <row r="42" ht="48" customHeight="1">
      <c r="A42" s="3" t="inlineStr">
        <is>
          <t>OCI run-rate ~$27B exiting FY25; IaaS $3.0B Q4 +52%; RPO $138B (Q4 FY25)</t>
        </is>
      </c>
      <c r="B42" s="85" t="inlineStr">
        <is>
          <t>https://futurumgroup.com/insights/oracle-delivers-q4-fy-2025-results-with-27-cloud-growth-rpo-hits-138-billion/</t>
        </is>
      </c>
    </row>
    <row r="43" ht="33" customHeight="1">
      <c r="A43" s="3" t="inlineStr">
        <is>
          <t>FY26 OCI +77% to ~$18B; RPO $523B +433% on AI deals (Q2 FY26)</t>
        </is>
      </c>
      <c r="B43" s="85"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SPACEX — AI capex from filings, and what Helarctos saves</t>
        </is>
      </c>
      <c r="B1" s="2" t="n"/>
      <c r="C1" s="2" t="n"/>
      <c r="D1" s="2" t="n"/>
    </row>
    <row r="2" ht="33" customHeight="1">
      <c r="A2" s="7" t="inlineStr">
        <is>
          <t>Company data (green = disclosed, yellow = estimate)</t>
        </is>
      </c>
      <c r="B2" s="8" t="inlineStr">
        <is>
          <t>FY2025</t>
        </is>
      </c>
      <c r="C2" s="8" t="inlineStr">
        <is>
          <t>FY2026</t>
        </is>
      </c>
      <c r="D2" s="8" t="inlineStr">
        <is>
          <t>Basis / source</t>
        </is>
      </c>
    </row>
    <row r="3" ht="93" customHeight="1">
      <c r="A3" s="44" t="inlineStr">
        <is>
          <t>Total capex ($B)</t>
        </is>
      </c>
      <c r="B3" s="75" t="n">
        <v>12.7</v>
      </c>
      <c r="C3" s="76"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ht="33" customHeight="1">
      <c r="A4" s="44" t="inlineStr">
        <is>
          <t>Infra / data-center share ★</t>
        </is>
      </c>
      <c r="B4" s="77" t="n">
        <v>1</v>
      </c>
      <c r="C4" s="77" t="n">
        <v>1</v>
      </c>
      <c r="D4" s="3" t="inlineStr">
        <is>
          <t>FILING: capex is the AI segment's own figure (S-1; Q2 2026 10-Q segment note, $23.6B in H1 2026).</t>
        </is>
      </c>
    </row>
    <row r="5" ht="18" customHeight="1">
      <c r="A5" s="44" t="inlineStr">
        <is>
          <t>Server / short-lived share ★</t>
        </is>
      </c>
      <c r="B5" s="77" t="n">
        <v>0.79</v>
      </c>
      <c r="C5" s="77" t="n">
        <v>0.79</v>
      </c>
      <c r="D5" s="3" t="inlineStr">
        <is>
          <t>CFO-disclosed (MSFT rose 50%-&gt;67%)</t>
        </is>
      </c>
    </row>
    <row r="6" ht="18" customHeight="1">
      <c r="A6" s="44" t="inlineStr">
        <is>
          <t>Accelerator share within servers ★</t>
        </is>
      </c>
      <c r="B6" s="77" t="n">
        <v>1</v>
      </c>
      <c r="C6" s="77" t="n">
        <v>1</v>
      </c>
      <c r="D6" s="3" t="inlineStr">
        <is>
          <t>from BOM teardowns (~67-80%)</t>
        </is>
      </c>
    </row>
    <row r="7" ht="18" customHeight="1">
      <c r="A7" s="44" t="inlineStr">
        <is>
          <t>Market cap ($B, approx)</t>
        </is>
      </c>
      <c r="B7" s="78" t="n">
        <v>1950</v>
      </c>
      <c r="D7" s="3" t="inlineStr">
        <is>
          <t>approximate June 2026 market data -- edit</t>
        </is>
      </c>
    </row>
    <row r="8"/>
    <row r="9">
      <c r="A9" s="5" t="inlineStr">
        <is>
          <t>DERIVATION — how much of the capex buys AI chips</t>
        </is>
      </c>
      <c r="B9" s="6" t="n"/>
      <c r="C9" s="6" t="n"/>
      <c r="D9" s="6" t="n"/>
    </row>
    <row r="10" ht="18" customHeight="1">
      <c r="A10" s="44" t="inlineStr">
        <is>
          <t>AI-infra capex ($B)</t>
        </is>
      </c>
      <c r="B10" s="79">
        <f>B3*B4</f>
        <v/>
      </c>
      <c r="C10" s="79">
        <f>C3*C4</f>
        <v/>
      </c>
      <c r="D10" s="3" t="inlineStr">
        <is>
          <t>total x infra share</t>
        </is>
      </c>
    </row>
    <row r="11" ht="18" customHeight="1">
      <c r="A11" s="44" t="inlineStr">
        <is>
          <t>Server bucket ($B)</t>
        </is>
      </c>
      <c r="B11" s="79">
        <f>B10*B5</f>
        <v/>
      </c>
      <c r="C11" s="79">
        <f>C10*C5</f>
        <v/>
      </c>
      <c r="D11" s="3" t="inlineStr">
        <is>
          <t>infra x server share</t>
        </is>
      </c>
    </row>
    <row r="12" ht="18" customHeight="1">
      <c r="A12" s="43" t="inlineStr">
        <is>
          <t>ACCELERATOR capex ($B)</t>
        </is>
      </c>
      <c r="B12" s="80">
        <f>B11*B6</f>
        <v/>
      </c>
      <c r="C12" s="80">
        <f>C11*C6</f>
        <v/>
      </c>
      <c r="D12" s="3" t="inlineStr">
        <is>
          <t>server x accel share</t>
        </is>
      </c>
    </row>
    <row r="13" ht="18" customHeight="1">
      <c r="A13" s="44" t="inlineStr">
        <is>
          <t>Accel % of total capex</t>
        </is>
      </c>
      <c r="B13" s="19">
        <f>B12/B3</f>
        <v/>
      </c>
      <c r="C13" s="19">
        <f>C12/C3</f>
        <v/>
      </c>
      <c r="D13" s="3" t="inlineStr">
        <is>
          <t>varies across companies</t>
        </is>
      </c>
    </row>
    <row r="14"/>
    <row r="15">
      <c r="A15" s="5" t="inlineStr">
        <is>
          <t>FLEET &amp; POWER (from AI-chip capex)</t>
        </is>
      </c>
      <c r="B15" s="6" t="n"/>
      <c r="C15" s="6" t="n"/>
      <c r="D15" s="6" t="n"/>
    </row>
    <row r="16" ht="18" customHeight="1">
      <c r="A16" s="44" t="inlineStr">
        <is>
          <t>Fleet size (GPU-equiv)</t>
        </is>
      </c>
      <c r="B16" s="81">
        <f>B12*1000000000/Inputs!$B$7</f>
        <v/>
      </c>
      <c r="C16" s="81">
        <f>C12*1000000000/Inputs!$B$7</f>
        <v/>
      </c>
      <c r="D16" s="3" t="inlineStr">
        <is>
          <t>accel capex / $ per GPU</t>
        </is>
      </c>
    </row>
    <row r="17" ht="18" customHeight="1">
      <c r="A17" s="44" t="inlineStr">
        <is>
          <t>Total wall power (MW)</t>
        </is>
      </c>
      <c r="B17" s="81">
        <f>B16*Inputs!$B$8/1000</f>
        <v/>
      </c>
      <c r="C17" s="81">
        <f>C16*Inputs!$B$8/1000</f>
        <v/>
      </c>
      <c r="D17" s="3" t="inlineStr">
        <is>
          <t>GPUs x kW</t>
        </is>
      </c>
    </row>
    <row r="18" ht="18" customHeight="1">
      <c r="A18" s="44" t="inlineStr">
        <is>
          <t>Daily energy (MWh)</t>
        </is>
      </c>
      <c r="B18" s="81">
        <f>B17*24</f>
        <v/>
      </c>
      <c r="C18" s="81">
        <f>C17*24</f>
        <v/>
      </c>
      <c r="D18" s="3" t="inlineStr"/>
    </row>
    <row r="19" ht="18" customHeight="1">
      <c r="A19" s="44" t="inlineStr">
        <is>
          <t>Daily all-in opex ($/day)</t>
        </is>
      </c>
      <c r="B19" s="81">
        <f>B18*1000*Inputs!$B$9*(1+Inputs!$B$10)</f>
        <v/>
      </c>
      <c r="C19" s="81">
        <f>C18*1000*Inputs!$B$9*(1+Inputs!$B$10)</f>
        <v/>
      </c>
      <c r="D19" s="3" t="inlineStr">
        <is>
          <t>MWh x rate x (1+overhead)</t>
        </is>
      </c>
    </row>
    <row r="20" ht="18" customHeight="1">
      <c r="A20" s="44" t="inlineStr">
        <is>
          <t>Annual opex ($M)</t>
        </is>
      </c>
      <c r="B20" s="79">
        <f>B19*365/1000000</f>
        <v/>
      </c>
      <c r="C20" s="79">
        <f>C19*365/1000000</f>
        <v/>
      </c>
      <c r="D20" s="3" t="inlineStr"/>
    </row>
    <row r="21" ht="18" customHeight="1">
      <c r="A21" s="44" t="inlineStr">
        <is>
          <t>Lifetime opex ($B)</t>
        </is>
      </c>
      <c r="B21" s="82">
        <f>B20*Inputs!$B$11/1000</f>
        <v/>
      </c>
      <c r="C21" s="82">
        <f>C20*Inputs!$B$11/1000</f>
        <v/>
      </c>
      <c r="D21" s="3" t="inlineStr"/>
    </row>
    <row r="22"/>
    <row r="23">
      <c r="A23" s="5" t="inlineStr">
        <is>
          <t>HELARCTOS EFFECT — technical engine (memory and compute priced separately)</t>
        </is>
      </c>
      <c r="B23" s="6" t="n"/>
      <c r="C23" s="6" t="n"/>
      <c r="D23" s="6" t="n"/>
    </row>
    <row r="24" ht="18" customHeight="1">
      <c r="A24" s="44" t="inlineStr">
        <is>
          <t>Efficient AI capex ($B)</t>
        </is>
      </c>
      <c r="B24" s="79">
        <f>B10-B25</f>
        <v/>
      </c>
      <c r="C24" s="79">
        <f>C10-C25</f>
        <v/>
      </c>
      <c r="D24" s="3" t="inlineStr">
        <is>
          <t>AI capex - avoided</t>
        </is>
      </c>
    </row>
    <row r="25" ht="48" customHeight="1">
      <c r="A25" s="22" t="inlineStr">
        <is>
          <t>H4·H5 → Capex avoided/yr ($B)</t>
        </is>
      </c>
      <c r="B25" s="79">
        <f>(B12+(B10-B12)*Inputs!$B$13)*(1-1/Inputs!$B$20)</f>
        <v/>
      </c>
      <c r="C25" s="79">
        <f>(C12+(C10-C12)*Inputs!$B$13)*(1-1/Inputs!$B$20)</f>
        <v/>
      </c>
      <c r="D25" s="3" t="inlineStr">
        <is>
          <t>Helarctos enters here: (chips + data-centre x dc-scale) x (1 - 1/cost-weighted cut, Inputs B20, built from H4 memory and H5 compute)</t>
        </is>
      </c>
    </row>
    <row r="26" ht="33" customHeight="1">
      <c r="A26" s="22" t="inlineStr">
        <is>
          <t>H4·H5 → Annual opex savings ($M)</t>
        </is>
      </c>
      <c r="B26" s="79">
        <f>B20*(1-1/Inputs!$B$5)</f>
        <v/>
      </c>
      <c r="C26" s="79">
        <f>C20*(1-1/Inputs!$B$5)</f>
        <v/>
      </c>
      <c r="D26" s="3" t="inlineStr">
        <is>
          <t>Helarctos enters here: power shrinks with the fleet (Inputs B5 = B20)</t>
        </is>
      </c>
    </row>
    <row r="27" ht="18" customHeight="1">
      <c r="A27" s="44" t="inlineStr">
        <is>
          <t>Sustained annual benefit ($B/yr)</t>
        </is>
      </c>
      <c r="B27" s="83">
        <f>B25+B26/1000</f>
        <v/>
      </c>
      <c r="C27" s="83">
        <f>C25+C26/1000</f>
        <v/>
      </c>
      <c r="D27" s="3" t="inlineStr">
        <is>
          <t>avoided + opex savings</t>
        </is>
      </c>
    </row>
    <row r="28" ht="18" customHeight="1">
      <c r="A28" s="43" t="inlineStr">
        <is>
          <t>Capitalized value ($B)</t>
        </is>
      </c>
      <c r="B28" s="84">
        <f>B27/Inputs!$B$6</f>
        <v/>
      </c>
      <c r="C28" s="84">
        <f>C27/Inputs!$B$6</f>
        <v/>
      </c>
      <c r="D28" s="3" t="inlineStr">
        <is>
          <t>benefit / discount rate</t>
        </is>
      </c>
    </row>
    <row r="29" ht="18" customHeight="1">
      <c r="A29" s="44" t="inlineStr">
        <is>
          <t>% of market cap</t>
        </is>
      </c>
      <c r="B29" s="46">
        <f>B28/$B$7</f>
        <v/>
      </c>
      <c r="C29" s="46">
        <f>C28/$B$7</f>
        <v/>
      </c>
      <c r="D29" s="3" t="inlineStr"/>
    </row>
    <row r="30"/>
    <row r="31">
      <c r="A31" s="5" t="inlineStr">
        <is>
          <t>AI ECONOMICS — cash basis: AI revenue - AI capex - AI power</t>
        </is>
      </c>
      <c r="B31" s="6" t="n"/>
      <c r="C31" s="6" t="n"/>
      <c r="D31" s="6" t="n"/>
    </row>
    <row r="32" ht="33" customHeight="1">
      <c r="A32" s="44" t="inlineStr">
        <is>
          <t>AI revenue ($B)</t>
        </is>
      </c>
      <c r="B32" s="76" t="n">
        <v>0.3</v>
      </c>
      <c r="C32" s="76" t="n">
        <v>1</v>
      </c>
      <c r="D32" s="3" t="inlineStr">
        <is>
          <t>ESTIMATE (see Methodology). MSFT $37B &amp; Amazon $15B run-rates disclosed; Google/Meta/SpaceX estimated.</t>
        </is>
      </c>
    </row>
    <row r="33" ht="18" customHeight="1">
      <c r="A33" s="44" t="inlineStr">
        <is>
          <t>AI capex ($B)</t>
        </is>
      </c>
      <c r="B33" s="79">
        <f>B10</f>
        <v/>
      </c>
      <c r="C33" s="79">
        <f>C10</f>
        <v/>
      </c>
      <c r="D33" s="3" t="inlineStr">
        <is>
          <t>AI-infra capex (full: accel + buildings + power + net)</t>
        </is>
      </c>
    </row>
    <row r="34" ht="18" customHeight="1">
      <c r="A34" s="44" t="inlineStr">
        <is>
          <t>AI opex ($B)</t>
        </is>
      </c>
      <c r="B34" s="79">
        <f>B20/1000</f>
        <v/>
      </c>
      <c r="C34" s="79">
        <f>C20/1000</f>
        <v/>
      </c>
      <c r="D34" s="3" t="inlineStr">
        <is>
          <t>annual power/operating</t>
        </is>
      </c>
    </row>
    <row r="35" ht="18" customHeight="1">
      <c r="A35" s="43" t="inlineStr">
        <is>
          <t>Net AI NOW ($B)</t>
        </is>
      </c>
      <c r="B35" s="80">
        <f>B32-B33-B34</f>
        <v/>
      </c>
      <c r="C35" s="80">
        <f>C32-C33-C34</f>
        <v/>
      </c>
      <c r="D35" s="3" t="inlineStr">
        <is>
          <t>revenue - capex - opex (cash burn)</t>
        </is>
      </c>
    </row>
    <row r="36" ht="18" customHeight="1">
      <c r="A36" s="44" t="inlineStr">
        <is>
          <t>Spend cut with Helarctos ($B)</t>
        </is>
      </c>
      <c r="B36" s="79">
        <f>B27</f>
        <v/>
      </c>
      <c r="C36" s="79">
        <f>C27</f>
        <v/>
      </c>
      <c r="D36" s="3" t="inlineStr">
        <is>
          <t>accel capex avoided + opex saved</t>
        </is>
      </c>
    </row>
    <row r="37" ht="18" customHeight="1">
      <c r="A37" s="43" t="inlineStr">
        <is>
          <t>Net AI with Helarctos ($B)</t>
        </is>
      </c>
      <c r="B37" s="80">
        <f>B35+B36</f>
        <v/>
      </c>
      <c r="C37" s="80">
        <f>C35+C36</f>
        <v/>
      </c>
      <c r="D37" s="3" t="inlineStr">
        <is>
          <t>Net AI now + spend cut</t>
        </is>
      </c>
    </row>
    <row r="38" ht="33" customHeight="1">
      <c r="A38" s="44" t="inlineStr">
        <is>
          <t>% AI spend reduction</t>
        </is>
      </c>
      <c r="B38" s="19">
        <f>B36/(B33+B34)</f>
        <v/>
      </c>
      <c r="C38" s="19">
        <f>C36/(C33+C34)</f>
        <v/>
      </c>
      <c r="D38" s="3" t="inlineStr">
        <is>
          <t>spend cut / total AI spend (accel-only; upside if DC scales)</t>
        </is>
      </c>
    </row>
    <row r="39"/>
    <row r="40">
      <c r="A40" s="5" t="inlineStr">
        <is>
          <t>SOURCES &amp; REFERENCES</t>
        </is>
      </c>
      <c r="B40" s="6" t="n"/>
      <c r="C40" s="6" t="n"/>
      <c r="D40" s="6" t="n"/>
    </row>
    <row r="41" ht="33" customHeight="1">
      <c r="A41" s="3" t="inlineStr">
        <is>
          <t>S-1 registration statement (SEC EDGAR)</t>
        </is>
      </c>
      <c r="B41" s="85" t="inlineStr">
        <is>
          <t>https://www.sec.gov/Archives/edgar/data/1181412/000162828026036936/spaceexplorationtechnologi.htm</t>
        </is>
      </c>
    </row>
    <row r="42" ht="33" customHeight="1">
      <c r="A42" s="3" t="inlineStr">
        <is>
          <t>S-1 financials &amp; AI breakdown (Hargreaves Lansdown)</t>
        </is>
      </c>
      <c r="B42" s="85" t="inlineStr">
        <is>
          <t>https://www.hl.co.uk/news/inside-spacexs-ipo-filing-revenue-starlink-ai-and-key-financials</t>
        </is>
      </c>
    </row>
    <row r="43" ht="33" customHeight="1">
      <c r="A43" s="3" t="inlineStr">
        <is>
          <t>$12.7B AI capex = ~60% of capex; COLOSSUS buildout (Investing.com)</t>
        </is>
      </c>
      <c r="B43" s="85" t="inlineStr">
        <is>
          <t>https://www.investing.com/analysis/spacex-is-quietly-becoming-an-ai-compute-and-orbital-infrastructure-company-200681776</t>
        </is>
      </c>
    </row>
    <row r="44" ht="48" customHeight="1">
      <c r="A44" s="3" t="inlineStr">
        <is>
          <t>AI1 orbital data centers; Anthropic as compute customer (DCD)</t>
        </is>
      </c>
      <c r="B44" s="85"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86" t="inlineStr">
        <is>
          <t>6-COMPANY AI ECONOMICS — current AI cash burn &amp; the effect of our architecture</t>
        </is>
      </c>
      <c r="B1" s="87" t="n"/>
      <c r="C1" s="87" t="n"/>
      <c r="D1" s="87" t="n"/>
      <c r="E1" s="87" t="n"/>
      <c r="F1" s="87" t="n"/>
      <c r="G1" s="87" t="n"/>
      <c r="H1" s="87" t="n"/>
    </row>
    <row r="2" ht="63" customHeight="1">
      <c r="A2" s="88" t="inlineStr">
        <is>
          <t>They all spend far more on AI (capex + opex) than they earn from it -- they are losing money on AI today. Helarctos cuts the AI-chip spend ~99%, shrinking the burn. The named firms are a floor; a GLOBAL estimate grosses up for the rest. Yellow assumption cells (also sliders in the app) and green disclosed-data cells live on company tabs.</t>
        </is>
      </c>
    </row>
    <row r="3"/>
    <row r="4">
      <c r="A4" s="86" t="inlineStr">
        <is>
          <t>NET AI ECONOMICS — FY2025 (cash basis: AI revenue - AI capex - AI opex)</t>
        </is>
      </c>
      <c r="B4" s="87" t="n"/>
      <c r="C4" s="87" t="n"/>
      <c r="D4" s="87" t="n"/>
      <c r="E4" s="87" t="n"/>
      <c r="F4" s="87" t="n"/>
      <c r="G4" s="87" t="n"/>
      <c r="H4" s="87" t="n"/>
    </row>
    <row r="5" ht="48" customHeight="1">
      <c r="A5" s="89" t="inlineStr">
        <is>
          <t>Company</t>
        </is>
      </c>
      <c r="B5" s="89" t="inlineStr">
        <is>
          <t>AI revenue ($B)</t>
        </is>
      </c>
      <c r="C5" s="89" t="inlineStr">
        <is>
          <t>AI capex ($B)</t>
        </is>
      </c>
      <c r="D5" s="89" t="inlineStr">
        <is>
          <t>AI opex ($B)</t>
        </is>
      </c>
      <c r="E5" s="89" t="inlineStr">
        <is>
          <t>Net AI NOW ($B)</t>
        </is>
      </c>
      <c r="F5" s="89" t="inlineStr">
        <is>
          <t>Spend cut with Helarctos ($B)</t>
        </is>
      </c>
      <c r="G5" s="89" t="inlineStr">
        <is>
          <t>Net AI with Helarctos ($B)</t>
        </is>
      </c>
      <c r="H5" s="89" t="inlineStr">
        <is>
          <t>% spend cut</t>
        </is>
      </c>
    </row>
    <row r="6">
      <c r="A6" t="inlineStr">
        <is>
          <t>Microsoft</t>
        </is>
      </c>
      <c r="B6" s="90">
        <f>Microsoft!$B$32</f>
        <v/>
      </c>
      <c r="C6" s="90">
        <f>Microsoft!$B$33</f>
        <v/>
      </c>
      <c r="D6" s="90">
        <f>Microsoft!$B$34</f>
        <v/>
      </c>
      <c r="E6" s="91">
        <f>Microsoft!$B$35</f>
        <v/>
      </c>
      <c r="F6" s="90">
        <f>Microsoft!$B$36</f>
        <v/>
      </c>
      <c r="G6" s="91">
        <f>Microsoft!$B$37</f>
        <v/>
      </c>
      <c r="H6" s="92">
        <f>Microsoft!$B$38</f>
        <v/>
      </c>
    </row>
    <row r="7">
      <c r="A7" t="inlineStr">
        <is>
          <t>Alphabet</t>
        </is>
      </c>
      <c r="B7" s="90">
        <f>Alphabet!$B$32</f>
        <v/>
      </c>
      <c r="C7" s="90">
        <f>Alphabet!$B$33</f>
        <v/>
      </c>
      <c r="D7" s="90">
        <f>Alphabet!$B$34</f>
        <v/>
      </c>
      <c r="E7" s="91">
        <f>Alphabet!$B$35</f>
        <v/>
      </c>
      <c r="F7" s="90">
        <f>Alphabet!$B$36</f>
        <v/>
      </c>
      <c r="G7" s="91">
        <f>Alphabet!$B$37</f>
        <v/>
      </c>
      <c r="H7" s="92">
        <f>Alphabet!$B$38</f>
        <v/>
      </c>
    </row>
    <row r="8">
      <c r="A8" t="inlineStr">
        <is>
          <t>Amazon</t>
        </is>
      </c>
      <c r="B8" s="90">
        <f>Amazon!$B$32</f>
        <v/>
      </c>
      <c r="C8" s="90">
        <f>Amazon!$B$33</f>
        <v/>
      </c>
      <c r="D8" s="90">
        <f>Amazon!$B$34</f>
        <v/>
      </c>
      <c r="E8" s="91">
        <f>Amazon!$B$35</f>
        <v/>
      </c>
      <c r="F8" s="90">
        <f>Amazon!$B$36</f>
        <v/>
      </c>
      <c r="G8" s="91">
        <f>Amazon!$B$37</f>
        <v/>
      </c>
      <c r="H8" s="92">
        <f>Amazon!$B$38</f>
        <v/>
      </c>
    </row>
    <row r="9">
      <c r="A9" t="inlineStr">
        <is>
          <t>Meta</t>
        </is>
      </c>
      <c r="B9" s="90">
        <f>Meta!$B$32</f>
        <v/>
      </c>
      <c r="C9" s="90">
        <f>Meta!$B$33</f>
        <v/>
      </c>
      <c r="D9" s="90">
        <f>Meta!$B$34</f>
        <v/>
      </c>
      <c r="E9" s="91">
        <f>Meta!$B$35</f>
        <v/>
      </c>
      <c r="F9" s="90">
        <f>Meta!$B$36</f>
        <v/>
      </c>
      <c r="G9" s="91">
        <f>Meta!$B$37</f>
        <v/>
      </c>
      <c r="H9" s="92">
        <f>Meta!$B$38</f>
        <v/>
      </c>
    </row>
    <row r="10">
      <c r="A10" t="inlineStr">
        <is>
          <t>Oracle</t>
        </is>
      </c>
      <c r="B10" s="90">
        <f>Oracle!$B$32</f>
        <v/>
      </c>
      <c r="C10" s="90">
        <f>Oracle!$B$33</f>
        <v/>
      </c>
      <c r="D10" s="90">
        <f>Oracle!$B$34</f>
        <v/>
      </c>
      <c r="E10" s="91">
        <f>Oracle!$B$35</f>
        <v/>
      </c>
      <c r="F10" s="90">
        <f>Oracle!$B$36</f>
        <v/>
      </c>
      <c r="G10" s="91">
        <f>Oracle!$B$37</f>
        <v/>
      </c>
      <c r="H10" s="92">
        <f>Oracle!$B$38</f>
        <v/>
      </c>
    </row>
    <row r="11">
      <c r="A11" t="inlineStr">
        <is>
          <t>SpaceX</t>
        </is>
      </c>
      <c r="B11" s="90">
        <f>SpaceX!$B$32</f>
        <v/>
      </c>
      <c r="C11" s="90">
        <f>SpaceX!$B$33</f>
        <v/>
      </c>
      <c r="D11" s="90">
        <f>SpaceX!$B$34</f>
        <v/>
      </c>
      <c r="E11" s="91">
        <f>SpaceX!$B$35</f>
        <v/>
      </c>
      <c r="F11" s="90">
        <f>SpaceX!$B$36</f>
        <v/>
      </c>
      <c r="G11" s="91">
        <f>SpaceX!$B$37</f>
        <v/>
      </c>
      <c r="H11" s="92">
        <f>SpaceX!$B$38</f>
        <v/>
      </c>
    </row>
    <row r="12">
      <c r="A12" s="93" t="inlineStr">
        <is>
          <t>TOTAL (6)</t>
        </is>
      </c>
      <c r="B12" s="94">
        <f>SUM(B6:B11)</f>
        <v/>
      </c>
      <c r="C12" s="94">
        <f>SUM(C6:C11)</f>
        <v/>
      </c>
      <c r="D12" s="94">
        <f>SUM(D6:D11)</f>
        <v/>
      </c>
      <c r="E12" s="94">
        <f>SUM(E6:E11)</f>
        <v/>
      </c>
      <c r="F12" s="94">
        <f>SUM(F6:F11)</f>
        <v/>
      </c>
      <c r="G12" s="94">
        <f>SUM(G6:G11)</f>
        <v/>
      </c>
      <c r="H12" s="95">
        <f>F12/(C12+D12)</f>
        <v/>
      </c>
    </row>
    <row r="13">
      <c r="A13" s="93" t="inlineStr">
        <is>
          <t>FY2026 (estimate)</t>
        </is>
      </c>
      <c r="E13" s="96">
        <f>SUM(Microsoft!$C$35,Alphabet!$C$35,Amazon!$C$35,Meta!$C$35,Oracle!$C$35,SpaceX!$C$35)</f>
        <v/>
      </c>
      <c r="F13" s="96">
        <f>SUM(Microsoft!$C$36,Alphabet!$C$36,Amazon!$C$36,Meta!$C$36,Oracle!$C$36,SpaceX!$C$36)</f>
        <v/>
      </c>
      <c r="G13" s="96">
        <f>SUM(Microsoft!$C$37,Alphabet!$C$37,Amazon!$C$37,Meta!$C$37,Oracle!$C$37,SpaceX!$C$37)</f>
        <v/>
      </c>
      <c r="H13" s="97">
        <f>SUM(Microsoft!$C$36,Alphabet!$C$36,Amazon!$C$36,Meta!$C$36,Oracle!$C$36,SpaceX!$C$36)/(SUM(Microsoft!$C$33,Alphabet!$C$33,Amazon!$C$33,Meta!$C$33,Oracle!$C$33,SpaceX!$C$33)+SUM(Microsoft!$C$34,Alphabet!$C$34,Amazon!$C$34,Meta!$C$34,Oracle!$C$34,SpaceX!$C$34))</f>
        <v/>
      </c>
    </row>
    <row r="14">
      <c r="A14" s="93" t="inlineStr">
        <is>
          <t>FY2027 (STREET-EST prediction, static)</t>
        </is>
      </c>
      <c r="E14" s="96" t="n">
        <v>-965.3195453336799</v>
      </c>
      <c r="F14" s="96" t="n">
        <v>576.9599068326864</v>
      </c>
      <c r="G14" s="96" t="n">
        <v>-388.3596385009935</v>
      </c>
      <c r="H14" s="97" t="n">
        <v>0.4936261625125145</v>
      </c>
    </row>
    <row r="15"/>
    <row r="16">
      <c r="A16" s="86" t="inlineStr">
        <is>
          <t>SAVINGS BREAKDOWN — the spend cut, split</t>
        </is>
      </c>
      <c r="B16" s="87" t="n"/>
      <c r="C16" s="87" t="n"/>
      <c r="D16" s="87" t="n"/>
      <c r="E16" s="87" t="n"/>
      <c r="F16" s="87" t="n"/>
      <c r="G16" s="87" t="n"/>
      <c r="H16" s="87" t="n"/>
    </row>
    <row r="17" ht="48" customHeight="1">
      <c r="A17" s="88" t="inlineStr">
        <is>
          <t>Cost-weighted reduction (Amdahl)</t>
        </is>
      </c>
      <c r="B17" s="98">
        <f>Inputs!$B$20</f>
        <v/>
      </c>
      <c r="C17" t="inlineStr">
        <is>
          <t>x</t>
        </is>
      </c>
    </row>
    <row r="18"/>
    <row r="19" ht="48" customHeight="1">
      <c r="B19" s="93" t="inlineStr">
        <is>
          <t>Saved OPEX</t>
        </is>
      </c>
      <c r="C19" s="89" t="inlineStr">
        <is>
          <t>Avoided CAPEX (Overspend)</t>
        </is>
      </c>
      <c r="D19" s="93" t="inlineStr">
        <is>
          <t>Total</t>
        </is>
      </c>
    </row>
    <row r="20" ht="33" customHeight="1">
      <c r="A20" s="88" t="inlineStr">
        <is>
          <t>FY2025 annual ($B/yr)</t>
        </is>
      </c>
      <c r="B20" s="90">
        <f>SUM(Microsoft!B26,Alphabet!B26,Amazon!B26,Meta!B26,Oracle!B26,SpaceX!B26)/1000</f>
        <v/>
      </c>
      <c r="C20" s="90">
        <f>SUM(Microsoft!B25,Alphabet!B25,Amazon!B25,Meta!B25,Oracle!B25,SpaceX!B25)</f>
        <v/>
      </c>
      <c r="D20" s="90">
        <f>B20+C20</f>
        <v/>
      </c>
    </row>
    <row r="21" ht="33" customHeight="1">
      <c r="A21" s="89" t="inlineStr">
        <is>
          <t>FY2025 capitalized ($B)</t>
        </is>
      </c>
      <c r="B21" s="99">
        <f>B20/Inputs!$B$6</f>
        <v/>
      </c>
      <c r="C21" s="99">
        <f>C20/Inputs!$B$6</f>
        <v/>
      </c>
      <c r="D21" s="99">
        <f>B21+C21</f>
        <v/>
      </c>
    </row>
    <row r="22" ht="33" customHeight="1">
      <c r="A22" s="88" t="inlineStr">
        <is>
          <t>FY2026 annual ($B/yr)</t>
        </is>
      </c>
      <c r="B22" s="90">
        <f>SUM(Microsoft!C26,Alphabet!C26,Amazon!C26,Meta!C26,Oracle!C26,SpaceX!C26)/1000</f>
        <v/>
      </c>
      <c r="C22" s="90">
        <f>SUM(Microsoft!C25,Alphabet!C25,Amazon!C25,Meta!C25,Oracle!C25,SpaceX!C25)</f>
        <v/>
      </c>
      <c r="D22" s="90">
        <f>B22+C22</f>
        <v/>
      </c>
    </row>
    <row r="23" ht="33" customHeight="1">
      <c r="A23" s="89" t="inlineStr">
        <is>
          <t>FY2026 capitalized ($B)</t>
        </is>
      </c>
      <c r="B23" s="99">
        <f>B22/Inputs!$B$6</f>
        <v/>
      </c>
      <c r="C23" s="99">
        <f>C22/Inputs!$B$6</f>
        <v/>
      </c>
      <c r="D23" s="99">
        <f>B23+C23</f>
        <v/>
      </c>
    </row>
    <row r="24" ht="213" customHeight="1">
      <c r="A24" s="89" t="inlineStr">
        <is>
          <t>GLOBAL capitalized -- est. ($B)</t>
        </is>
      </c>
      <c r="B24" s="99">
        <f>D21/Inputs!$B$14</f>
        <v/>
      </c>
      <c r="C24" s="99">
        <f>D23/Inputs!$B$14</f>
        <v/>
      </c>
      <c r="D24" s="88" t="inlineStr">
        <is>
          <t>named-floor capitalized / named-share-of-global (Inputs B14). ESTIMATE: grosses up for other clouds, China, neoclouds, xAI, sovereign.</t>
        </is>
      </c>
    </row>
    <row r="25">
      <c r="A25" t="inlineStr">
        <is>
          <t>% reduction</t>
        </is>
      </c>
      <c r="B25" s="92">
        <f>1-1/Inputs!$B$5</f>
        <v/>
      </c>
      <c r="C25" s="92">
        <f>1-1/Inputs!$B$20</f>
        <v/>
      </c>
    </row>
    <row r="26" ht="63" customHeight="1">
      <c r="A26" s="88"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row r="28">
      <c r="A28" s="86" t="inlineStr">
        <is>
          <t>TABS</t>
        </is>
      </c>
      <c r="B28" s="87" t="n"/>
      <c r="C28" s="87" t="n"/>
      <c r="D28" s="87" t="n"/>
      <c r="E28" s="87" t="n"/>
      <c r="F28" s="87" t="n"/>
      <c r="G28" s="87" t="n"/>
      <c r="H28" s="87" t="n"/>
    </row>
    <row r="29" ht="63" customHeight="1">
      <c r="A29" s="89" t="inlineStr">
        <is>
          <t>Summary / Value Bridge / Levers / What Matters</t>
        </is>
      </c>
      <c r="B29" s="88" t="inlineStr">
        <is>
          <t>the plain-language front tabs: headline, training vs inference split, the Helarctos levers H1–H6, what moves the answer</t>
        </is>
      </c>
    </row>
    <row r="30" ht="63" customHeight="1">
      <c r="A30" s="89" t="inlineStr">
        <is>
          <t>Microsoft / Alphabet / Amazon / Meta / Oracle / SpaceX</t>
        </is>
      </c>
      <c r="B30" s="88" t="inlineStr">
        <is>
          <t>one tab each: full build capex -&gt; infra -&gt; servers -&gt; accelerator -&gt; fleet/opex -&gt; value</t>
        </is>
      </c>
    </row>
    <row r="31" ht="18" customHeight="1">
      <c r="A31" s="93" t="inlineStr">
        <is>
          <t>Inputs</t>
        </is>
      </c>
      <c r="B31" s="88" t="inlineStr">
        <is>
          <t>global assumptions + the reduction engine (cost-weighted factor)</t>
        </is>
      </c>
    </row>
    <row r="32" ht="33" customHeight="1">
      <c r="A32" s="93" t="inlineStr">
        <is>
          <t>Sensitivity</t>
        </is>
      </c>
      <c r="B32" s="88" t="inlineStr">
        <is>
          <t>SpaceX value under both pricing methods + how the compute lever varies with context</t>
        </is>
      </c>
    </row>
    <row r="33" ht="18" customHeight="1">
      <c r="A33" s="93" t="inlineStr">
        <is>
          <t>CostLadder</t>
        </is>
      </c>
      <c r="B33" s="88" t="inlineStr">
        <is>
          <t>own-silicon vs buy-NVIDIA vs rent $/GPU-hr</t>
        </is>
      </c>
    </row>
    <row r="34" ht="33" customHeight="1">
      <c r="A34" s="93" t="inlineStr">
        <is>
          <t>ServingTraining</t>
        </is>
      </c>
      <c r="B34" s="88" t="inlineStr">
        <is>
          <t>the serving/training measurement ledger behind the levers — status-tagged (MEASURED / ESTIMATE / TARGET)</t>
        </is>
      </c>
    </row>
    <row r="35" ht="18" customHeight="1">
      <c r="A35" s="93" t="inlineStr">
        <is>
          <t>Evidence</t>
        </is>
      </c>
      <c r="B35" s="88" t="inlineStr">
        <is>
          <t>BOM cost split, accelerator-share data, own-silicon TCO, filing top-lines</t>
        </is>
      </c>
    </row>
    <row r="36" ht="18" customHeight="1">
      <c r="A36" s="93" t="inlineStr">
        <is>
          <t>Methodology</t>
        </is>
      </c>
      <c r="B36" s="88" t="inlineStr">
        <is>
          <t>step-by-step logic, caveats, sources</t>
        </is>
      </c>
    </row>
    <row r="37"/>
    <row r="38" ht="48" customHeight="1">
      <c r="A38" s="89" t="inlineStr">
        <is>
          <t>Legend: teal = Helarctos lever (H1–H6)  ·  yellow = market / modelling assumption  ·  green = disclosed filing or market data  ·  blue = formula  ·  ◆ purple = differs by scenario  ·  ★ = high impact.</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E32"/>
  <sheetViews>
    <sheetView workbookViewId="0">
      <selection activeCell="A1" sqref="A1"/>
    </sheetView>
  </sheetViews>
  <sheetFormatPr baseColWidth="8" defaultRowHeight="15"/>
  <cols>
    <col width="50" customWidth="1" min="1" max="1"/>
    <col width="13" customWidth="1" min="2" max="2"/>
    <col width="7" customWidth="1" min="3" max="3"/>
    <col width="22" customWidth="1" min="4" max="4"/>
    <col width="74" customWidth="1" min="5" max="5"/>
  </cols>
  <sheetData>
    <row r="1">
      <c r="A1" s="86" t="inlineStr">
        <is>
          <t>INPUTS — teal = Helarctos lever (H1–H6) · yellow = market / modelling assumption · green = disclosed or market data · blue = formula</t>
        </is>
      </c>
      <c r="B1" s="87" t="n"/>
      <c r="C1" s="87" t="n"/>
      <c r="D1" s="87" t="n"/>
      <c r="E1" s="87" t="n"/>
    </row>
    <row r="2" ht="78" customHeight="1">
      <c r="A2" s="22" t="inlineStr">
        <is>
          <t>H4 · Memory reduction factor</t>
        </is>
      </c>
      <c r="B2" s="100" t="n">
        <v>2032</v>
      </c>
      <c r="C2" t="inlineStr">
        <is>
          <t>x</t>
        </is>
      </c>
      <c r="D2" s="22" t="inlineStr">
        <is>
          <t>Helarctos lever H4</t>
        </is>
      </c>
      <c r="E2" s="88" t="inlineStr">
        <is>
          <t>MEASURED x2,032 at 262k on our test model (2026-08-14): 197 KB of transformer KV per token x 262,144 tokens = 51.6 GB vs a constant 25.4 MB Helarctos state. Caveat: for frontier-size models with grouped-query attention the frontier-geometry estimate is ~x208 at 262k, where memory would bind again (about -$0.5B on FY2026).</t>
        </is>
      </c>
    </row>
    <row r="3" ht="93" customHeight="1">
      <c r="A3" s="22" t="inlineStr">
        <is>
          <t>H5·H6 · FLOPs reduction factor</t>
        </is>
      </c>
      <c r="B3" s="101">
        <f>$B$27</f>
        <v/>
      </c>
      <c r="C3" t="inlineStr">
        <is>
          <t>x</t>
        </is>
      </c>
      <c r="D3" s="22" t="inlineStr">
        <is>
          <t>Helarctos levers H5·H6</t>
        </is>
      </c>
      <c r="E3" s="88" t="inlineStr">
        <is>
          <t>B27 = inference throughput per GPU at a 262k-token average context, built live from H5 (B28), H6 (B29) and the active scenario's prompt-processing speed (B26). Inference cost does not scale with model size, so the equal-quality ratio (B23) applies to training only. Overtype this cell to pin the lever. See ServingTraining for the measured background.</t>
        </is>
      </c>
    </row>
    <row r="4" ht="33" customHeight="1">
      <c r="A4" t="inlineStr">
        <is>
          <t>Memory share of GPU cost (BOM)</t>
        </is>
      </c>
      <c r="B4" s="102" t="n">
        <v>0.6</v>
      </c>
      <c r="C4" t="inlineStr">
        <is>
          <t>frac</t>
        </is>
      </c>
      <c r="D4" t="inlineStr">
        <is>
          <t>Market data (teardowns)</t>
        </is>
      </c>
      <c r="E4" s="88" t="inlineStr">
        <is>
          <t>HBM ~45% of B200 COGS + most CoWoS packaging -&gt; ~60% memory / ~40% compute. See Evidence.</t>
        </is>
      </c>
    </row>
    <row r="5" ht="33" customHeight="1">
      <c r="A5" t="inlineStr">
        <is>
          <t>Opex / energy reduction factor</t>
        </is>
      </c>
      <c r="B5" s="103">
        <f>B20</f>
        <v/>
      </c>
      <c r="C5" t="inlineStr">
        <is>
          <t>x</t>
        </is>
      </c>
      <c r="D5" t="inlineStr">
        <is>
          <t>Derived</t>
        </is>
      </c>
      <c r="E5" s="88" t="inlineStr">
        <is>
          <t>DERIVED default = cost-weighted reduction (B20): energy splits memory/compute like cost. Overtype this cell to override.</t>
        </is>
      </c>
    </row>
    <row r="6" ht="33" customHeight="1">
      <c r="A6" t="inlineStr">
        <is>
          <t>Discount rate ★</t>
        </is>
      </c>
      <c r="B6" s="104" t="n">
        <v>0.06</v>
      </c>
      <c r="C6" t="inlineStr">
        <is>
          <t>frac</t>
        </is>
      </c>
      <c r="D6" t="inlineStr">
        <is>
          <t>Modelling assumption</t>
        </is>
      </c>
      <c r="E6" s="88" t="inlineStr">
        <is>
          <t>Perpetuity capitalization: value = annual benefit / rate (=16.7x at 6%).</t>
        </is>
      </c>
    </row>
    <row r="7" ht="18" customHeight="1">
      <c r="A7" t="inlineStr">
        <is>
          <t>Fully-loaded cost per GPU</t>
        </is>
      </c>
      <c r="B7" s="105" t="n">
        <v>50000</v>
      </c>
      <c r="C7" t="inlineStr">
        <is>
          <t>$</t>
        </is>
      </c>
      <c r="D7" t="inlineStr">
        <is>
          <t>Market data</t>
        </is>
      </c>
      <c r="E7" s="88" t="inlineStr">
        <is>
          <t>B200-class GPU + share of server, NVLink, networking.</t>
        </is>
      </c>
    </row>
    <row r="8" ht="48" customHeight="1">
      <c r="A8" t="inlineStr">
        <is>
          <t>Wall power per GPU</t>
        </is>
      </c>
      <c r="B8" s="103" t="n">
        <v>2.3</v>
      </c>
      <c r="C8" t="inlineStr">
        <is>
          <t>kW</t>
        </is>
      </c>
      <c r="D8" t="inlineStr">
        <is>
          <t>Market data</t>
        </is>
      </c>
      <c r="E8" s="88" t="inlineStr">
        <is>
          <t>GB200 NVL72: 120-132 kW per rack / 72 GPUs = ~1.7-1.8 kW IT per GPU (incl. CPUs, switches) x PUE ~1.3 = ~2.3 kW. Was 1.8 until 2026-09-29.</t>
        </is>
      </c>
    </row>
    <row r="9" ht="18" customHeight="1">
      <c r="A9" t="inlineStr">
        <is>
          <t>Electricity rate</t>
        </is>
      </c>
      <c r="B9" s="103" t="n">
        <v>0.08</v>
      </c>
      <c r="C9" t="inlineStr">
        <is>
          <t>$/kWh</t>
        </is>
      </c>
      <c r="D9" t="inlineStr">
        <is>
          <t>Market data</t>
        </is>
      </c>
      <c r="E9" s="88" t="inlineStr">
        <is>
          <t>Datacenter wholesale; raise to 0.10-0.12 for grid colo.</t>
        </is>
      </c>
    </row>
    <row r="10" ht="18" customHeight="1">
      <c r="A10" t="inlineStr">
        <is>
          <t>Cooling/ops overhead on energy</t>
        </is>
      </c>
      <c r="B10" s="102" t="n">
        <v>0.25</v>
      </c>
      <c r="C10" t="inlineStr">
        <is>
          <t>frac</t>
        </is>
      </c>
      <c r="D10" t="inlineStr">
        <is>
          <t>Modelling assumption</t>
        </is>
      </c>
      <c r="E10" s="88" t="inlineStr">
        <is>
          <t>Non-power running cost as fraction of electricity.</t>
        </is>
      </c>
    </row>
    <row r="11" ht="18" customHeight="1">
      <c r="A11" t="inlineStr">
        <is>
          <t>Fleet useful life</t>
        </is>
      </c>
      <c r="B11" s="103" t="n">
        <v>4</v>
      </c>
      <c r="C11" t="inlineStr">
        <is>
          <t>yr</t>
        </is>
      </c>
      <c r="D11" t="inlineStr">
        <is>
          <t>Modelling assumption</t>
        </is>
      </c>
      <c r="E11" s="88" t="inlineStr">
        <is>
          <t>AI-GPU depreciation life.</t>
        </is>
      </c>
    </row>
    <row r="12" ht="33" customHeight="1">
      <c r="A12" t="inlineStr">
        <is>
          <t>SpaceX market cap</t>
        </is>
      </c>
      <c r="B12" s="106" t="n">
        <v>1950</v>
      </c>
      <c r="C12" t="inlineStr">
        <is>
          <t>$B</t>
        </is>
      </c>
      <c r="D12" t="inlineStr">
        <is>
          <t>Market data</t>
        </is>
      </c>
      <c r="E12" s="88" t="inlineStr">
        <is>
          <t>~$1.95T Aug 2026; IPO 2026-06-12 at ~$1.77T (market data; used by Sensitivity).</t>
        </is>
      </c>
    </row>
    <row r="13" ht="48" customHeight="1">
      <c r="A13" t="inlineStr">
        <is>
          <t>Datacenter scaling factor</t>
        </is>
      </c>
      <c r="B13" s="102" t="n">
        <v>0</v>
      </c>
      <c r="C13" t="inlineStr">
        <is>
          <t>frac</t>
        </is>
      </c>
      <c r="D13" t="inlineStr">
        <is>
          <t>Modelling assumption</t>
        </is>
      </c>
      <c r="E13" s="88" t="inlineStr">
        <is>
          <t>TOGGLE 0-1. 0 = conservative (only accelerator silicon shrinks). 1 = whole AI datacenter (building/power/cooling/net) scales with the smaller fleet. ~0.7 ~= breakeven on net AI.</t>
        </is>
      </c>
    </row>
    <row r="14" ht="48" customHeight="1">
      <c r="A14" t="inlineStr">
        <is>
          <t>Named share of global AI capex</t>
        </is>
      </c>
      <c r="B14" s="102" t="n">
        <v>0.8</v>
      </c>
      <c r="C14" t="inlineStr">
        <is>
          <t>frac</t>
        </is>
      </c>
      <c r="D14" t="inlineStr">
        <is>
          <t>Modelling assumption</t>
        </is>
      </c>
      <c r="E14" s="88" t="inlineStr">
        <is>
          <t>GLOBAL estimate (Totals): named firms' share of worldwide AI capex; the rest (other clouds, China, neoclouds, xAI, sovereign) is grossed up pro-rata. ESTIMATE.</t>
        </is>
      </c>
    </row>
    <row r="15">
      <c r="A15" s="86" t="inlineStr">
        <is>
          <t>REDUCTION ENGINE (Amdahl cost-weighting) — derived; used by the technical tabs</t>
        </is>
      </c>
      <c r="B15" s="87" t="n"/>
      <c r="C15" s="87" t="n"/>
      <c r="D15" s="87" t="n"/>
      <c r="E15" s="87" t="n"/>
    </row>
    <row r="16" ht="18" customHeight="1">
      <c r="A16" t="inlineStr">
        <is>
          <t>Compute share of GPU cost</t>
        </is>
      </c>
      <c r="B16" s="107">
        <f>1-B4</f>
        <v/>
      </c>
      <c r="D16" t="inlineStr">
        <is>
          <t>Derived</t>
        </is>
      </c>
      <c r="E16" s="88" t="inlineStr">
        <is>
          <t>1 - memory share</t>
        </is>
      </c>
    </row>
    <row r="17" ht="18" customHeight="1">
      <c r="A17" t="inlineStr">
        <is>
          <t>Memory cost fraction after reduction</t>
        </is>
      </c>
      <c r="B17" s="108">
        <f>B4/B2</f>
        <v/>
      </c>
      <c r="D17" t="inlineStr">
        <is>
          <t>Derived</t>
        </is>
      </c>
      <c r="E17" s="88" t="inlineStr">
        <is>
          <t>memory share / memory reduction</t>
        </is>
      </c>
    </row>
    <row r="18" ht="18" customHeight="1">
      <c r="A18" t="inlineStr">
        <is>
          <t>Compute cost fraction after reduction</t>
        </is>
      </c>
      <c r="B18" s="108">
        <f>B16/B3</f>
        <v/>
      </c>
      <c r="D18" t="inlineStr">
        <is>
          <t>Derived</t>
        </is>
      </c>
      <c r="E18" s="88" t="inlineStr">
        <is>
          <t>compute share / FLOPs reduction</t>
        </is>
      </c>
    </row>
    <row r="19" ht="18" customHeight="1">
      <c r="A19" t="inlineStr">
        <is>
          <t>Residual cost fraction</t>
        </is>
      </c>
      <c r="B19" s="107">
        <f>B17+B18</f>
        <v/>
      </c>
      <c r="D19" t="inlineStr">
        <is>
          <t>Derived</t>
        </is>
      </c>
      <c r="E19" s="88" t="inlineStr">
        <is>
          <t>Amdahl: floored by the least-reduced component</t>
        </is>
      </c>
    </row>
    <row r="20" ht="33" customHeight="1">
      <c r="A20" s="93" t="inlineStr">
        <is>
          <t>COST-WEIGHTED reduction factor</t>
        </is>
      </c>
      <c r="B20" s="98">
        <f>1/B19</f>
        <v/>
      </c>
      <c r="C20" t="inlineStr">
        <is>
          <t>x</t>
        </is>
      </c>
      <c r="D20" t="inlineStr">
        <is>
          <t>Derived</t>
        </is>
      </c>
      <c r="E20" s="88" t="inlineStr">
        <is>
          <t>1 / residual. The $ reduction used by the technical tabs (Totals, company tabs).</t>
        </is>
      </c>
    </row>
    <row r="21"/>
    <row r="22">
      <c r="A22" s="86" t="inlineStr">
        <is>
          <t>HELARCTOS LEVERS H1, H5, H6 + prompt-processing speed — 262k-token average context; ◆ purple = differs by scenario</t>
        </is>
      </c>
      <c r="B22" s="87" t="n"/>
      <c r="C22" s="87" t="n"/>
      <c r="D22" s="87" t="n"/>
      <c r="E22" s="87" t="n"/>
    </row>
    <row r="23" ht="138" customHeight="1">
      <c r="A23" s="22" t="inlineStr">
        <is>
          <t>H1 · Equal-quality parameter ratio at ~1T dense-equivalent (smaller model; H2 = same) ★</t>
        </is>
      </c>
      <c r="B23" s="109" t="n">
        <v>4.2185</v>
      </c>
      <c r="C23" t="inlineStr">
        <is>
          <t>x</t>
        </is>
      </c>
      <c r="D23" s="22" t="inlineStr">
        <is>
          <t>Helarctos lever H1</t>
        </is>
      </c>
      <c r="E23" s="88"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 Scale: ~1T dense-equivalent: about what today's 5-6T-total mixture-of-experts flagships amount to (Grok 5 at 6T, Kimi K3 at 2.8T; a mixture-of-experts model runs only a fraction of its parameters per token and performs roughly like a dense model of sqrt(total x active) size).</t>
        </is>
      </c>
    </row>
    <row r="24" ht="63" customHeight="1">
      <c r="A24" s="88" t="inlineStr">
        <is>
          <t>Prompt-processing speed vs the transformer — Current kernels ◆</t>
        </is>
      </c>
      <c r="B24" s="110" t="n">
        <v>10.29945878069066</v>
      </c>
      <c r="C24" t="inlineStr">
        <is>
          <t>x</t>
        </is>
      </c>
      <c r="D24" s="88" t="inlineStr">
        <is>
          <t>Helarctos kernels (supporting)</t>
        </is>
      </c>
      <c r="E24" s="88" t="inlineStr">
        <is>
          <t>Supporting input (a Helarctos kernel property, not a headline lever): our prefill tokens/s at 262k with the banked x3.936 kernel speed-up (MEASURED) / the transformer's. The only inference input that differs by scenario.</t>
        </is>
      </c>
    </row>
    <row r="25" ht="48" customHeight="1">
      <c r="A25" s="88" t="inlineStr">
        <is>
          <t>Prompt-processing speed vs the transformer — Optimized kernels ◆</t>
        </is>
      </c>
      <c r="B25" s="110" t="n">
        <v>18.39895733143096</v>
      </c>
      <c r="C25" t="inlineStr">
        <is>
          <t>x</t>
        </is>
      </c>
      <c r="D25" s="88" t="inlineStr">
        <is>
          <t>Helarctos kernels (supporting)</t>
        </is>
      </c>
      <c r="E25" s="88" t="inlineStr">
        <is>
          <t>Same at the full x7.03 = x3.936 MEASURED x x1.786 TARGET (the funded kernel programme). Prompts are only ~0.2% of the transformer's time at 262k, so this barely moves the lever.</t>
        </is>
      </c>
    </row>
    <row r="26" ht="18" customHeight="1">
      <c r="A26" t="inlineStr">
        <is>
          <t>Prompt-processing speed — ACTIVE scenario ◆</t>
        </is>
      </c>
      <c r="B26" s="110">
        <f>IF(Scenario="Optimized kernels",$B$25,$B$24)</f>
        <v/>
      </c>
      <c r="C26" t="inlineStr">
        <is>
          <t>x</t>
        </is>
      </c>
      <c r="D26" t="inlineStr">
        <is>
          <t>Derived</t>
        </is>
      </c>
      <c r="E26" s="88" t="inlineStr">
        <is>
          <t>Follows the scenario picked on the Levers tab (cell C4).</t>
        </is>
      </c>
    </row>
    <row r="27" ht="63" customHeight="1">
      <c r="A27" s="22" t="inlineStr">
        <is>
          <t>H5 × H6 → inference compute (FLOPs) lever used</t>
        </is>
      </c>
      <c r="B27" s="98">
        <f>(1+$B$32)/($B$32/$B$26+1/($B$28*$B$29))</f>
        <v/>
      </c>
      <c r="C27" t="inlineStr">
        <is>
          <t>x</t>
        </is>
      </c>
      <c r="D27" t="inlineStr">
        <is>
          <t>Derived</t>
        </is>
      </c>
      <c r="E27" s="88" t="inlineStr">
        <is>
          <t>Tokens served per GPU vs the transformer at the same model size = (1 + B32) / (B32/B26 + 1/(B28 x B29)): decode at H5 x H6, plus prompt processing at B26. B3 points here. Context matters: ~x12 at an 8k-token average context, ~x48 at 32k, ~x188 at 128k.</t>
        </is>
      </c>
    </row>
    <row r="28" ht="48" customHeight="1">
      <c r="A28" s="22" t="inlineStr">
        <is>
          <t>H5 · More conversations per GPU</t>
        </is>
      </c>
      <c r="B28" s="111" t="n">
        <v>64</v>
      </c>
      <c r="C28" t="inlineStr">
        <is>
          <t>x</t>
        </is>
      </c>
      <c r="D28" s="22" t="inlineStr">
        <is>
          <t>Helarctos lever H5</t>
        </is>
      </c>
      <c r="E28" s="88" t="inlineStr">
        <is>
          <t>MEASURED 2026-08-14: 64 resident 262k-token conversations on one GPU in 1.6 GB of state (a grid cap, not a ceiling) vs the transformer's 1 — a 2nd OOMs. Enabled by the small memory (H4).</t>
        </is>
      </c>
    </row>
    <row r="29" ht="48" customHeight="1">
      <c r="A29" s="22" t="inlineStr">
        <is>
          <t>H6 · Faster decode per token</t>
        </is>
      </c>
      <c r="B29" s="112" t="n">
        <v>6.251934007741511</v>
      </c>
      <c r="C29" t="inlineStr">
        <is>
          <t>x</t>
        </is>
      </c>
      <c r="D29" s="22" t="inlineStr">
        <is>
          <t>Helarctos lever H6</t>
        </is>
      </c>
      <c r="E29" s="88" t="inlineStr">
        <is>
          <t>ESTIMATE: transformer 15.63 ms per token at 262k / our 2.5 ms (post-kernel-edit estimate; aggregate-decode receipt PENDING). On our older, unoptimised kernels we MEASURED ~5.7 vs 14.9 ms GPU-busy = x2.6.</t>
        </is>
      </c>
    </row>
    <row r="30" ht="18" customHeight="1">
      <c r="A30" t="inlineStr">
        <is>
          <t>Input : output tokens per conversation</t>
        </is>
      </c>
      <c r="B30" s="103" t="n">
        <v>10</v>
      </c>
      <c r="D30" t="inlineStr">
        <is>
          <t>Modelling assumption</t>
        </is>
      </c>
      <c r="E30" s="88" t="inlineStr">
        <is>
          <t>~10:1 = code / reasoning / agent traces.</t>
        </is>
      </c>
    </row>
    <row r="31" ht="33" customHeight="1">
      <c r="A31" t="inlineStr">
        <is>
          <t>Transformer decode ÷ prompt speed at 262k</t>
        </is>
      </c>
      <c r="B31" s="113" t="n">
        <v>0.0002305808900548502</v>
      </c>
      <c r="D31" t="inlineStr">
        <is>
          <t>Measured (transformer)</t>
        </is>
      </c>
      <c r="E31" s="88" t="inlineStr">
        <is>
          <t>Tokens/s generated ÷ prompt tokens/s processed, per GPU (measured transformer rates).</t>
        </is>
      </c>
    </row>
    <row r="32" ht="33" customHeight="1">
      <c r="A32" t="inlineStr">
        <is>
          <t>Transformer prompt time ÷ decode time</t>
        </is>
      </c>
      <c r="B32" s="108">
        <f>$B$30*$B$31</f>
        <v/>
      </c>
      <c r="D32" t="inlineStr">
        <is>
          <t>Derived</t>
        </is>
      </c>
      <c r="E32" s="88" t="inlineStr">
        <is>
          <t>B30 x B31: the transformer spends ~0.23% of its time on the prompt at 262k.</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86" t="inlineStr">
        <is>
          <t>SENSITIVITY (SpaceX) — memory/compute cost split vs whole-GPU pricing</t>
        </is>
      </c>
      <c r="B1" s="87" t="n"/>
      <c r="C1" s="87" t="n"/>
      <c r="D1" s="87" t="n"/>
      <c r="E1" s="87" t="n"/>
    </row>
    <row r="2" ht="63" customHeight="1">
      <c r="A2" s="93" t="inlineStr">
        <is>
          <t>Metric</t>
        </is>
      </c>
      <c r="B2" s="89" t="inlineStr">
        <is>
          <t>Memory/compute cost split (Totals engine)</t>
        </is>
      </c>
      <c r="C2" s="89" t="inlineStr">
        <is>
          <t>Whole GPUs (Value Bridge logic)</t>
        </is>
      </c>
    </row>
    <row r="3">
      <c r="A3" t="inlineStr">
        <is>
          <t>Efficient acquisition ($B)</t>
        </is>
      </c>
      <c r="B3" s="114">
        <f>SpaceX!$B$12/(Inputs!$B$20)</f>
        <v/>
      </c>
      <c r="C3" s="114">
        <f>SpaceX!$B$12/(MIN(Inputs!$B$2,Inputs!$B$3))</f>
        <v/>
      </c>
    </row>
    <row r="4">
      <c r="A4" t="inlineStr">
        <is>
          <t>Capex avoided/yr ($B)</t>
        </is>
      </c>
      <c r="B4" s="114">
        <f>SpaceX!$B$12-SpaceX!$B$12/(Inputs!$B$20)</f>
        <v/>
      </c>
      <c r="C4" s="114">
        <f>SpaceX!$B$12-SpaceX!$B$12/(MIN(Inputs!$B$2,Inputs!$B$3))</f>
        <v/>
      </c>
    </row>
    <row r="5">
      <c r="A5" t="inlineStr">
        <is>
          <t>Annual opex savings ($M)</t>
        </is>
      </c>
      <c r="B5" s="90">
        <f>SpaceX!$B$26</f>
        <v/>
      </c>
      <c r="C5" s="90">
        <f>SpaceX!$B$26</f>
        <v/>
      </c>
    </row>
    <row r="6">
      <c r="A6" t="inlineStr">
        <is>
          <t>Sustained annual benefit ($B)</t>
        </is>
      </c>
      <c r="B6" s="114">
        <f>(SpaceX!$B$12-SpaceX!$B$12/(Inputs!$B$20))+SpaceX!$B$26/1000</f>
        <v/>
      </c>
      <c r="C6" s="114">
        <f>(SpaceX!$B$12-SpaceX!$B$12/(MIN(Inputs!$B$2,Inputs!$B$3)))+SpaceX!$B$26/1000</f>
        <v/>
      </c>
    </row>
    <row r="7">
      <c r="A7" t="inlineStr">
        <is>
          <t>Capitalized value ($B)</t>
        </is>
      </c>
      <c r="B7" s="115">
        <f>((SpaceX!$B$12-SpaceX!$B$12/(Inputs!$B$20))+SpaceX!$B$26/1000)/Inputs!$B$6</f>
        <v/>
      </c>
      <c r="C7" s="115">
        <f>((SpaceX!$B$12-SpaceX!$B$12/(MIN(Inputs!$B$2,Inputs!$B$3)))+SpaceX!$B$26/1000)/Inputs!$B$6</f>
        <v/>
      </c>
    </row>
    <row r="8">
      <c r="A8" t="inlineStr">
        <is>
          <t>% of market cap</t>
        </is>
      </c>
      <c r="B8" s="107">
        <f>(((SpaceX!$B$12-SpaceX!$B$12/(Inputs!$B$20))+SpaceX!$B$26/1000)/Inputs!$B$6)/Inputs!$B$12</f>
        <v/>
      </c>
      <c r="C8" s="107">
        <f>(((SpaceX!$B$12-SpaceX!$B$12/(MIN(Inputs!$B$2,Inputs!$B$3)))+SpaceX!$B$26/1000)/Inputs!$B$6)/Inputs!$B$12</f>
        <v/>
      </c>
    </row>
    <row r="9"/>
    <row r="10" ht="48" customHeight="1">
      <c r="A10" s="88" t="inlineStr">
        <is>
          <t>Base = SpaceX accelerator capex (SpaceX!B12), not total capex. The first column ties to the SpaceX tab (B25/B27) at the conservative dc_scale=0; the second prices the fleet on whole GPUs (shrinks by the smaller of the memory and compute levers).</t>
        </is>
      </c>
    </row>
    <row r="11"/>
    <row r="12">
      <c r="A12" s="86" t="inlineStr">
        <is>
          <t>CONVERSATION-LENGTH SENSITIVITY — prompt share of serving cost vs average conversation length</t>
        </is>
      </c>
      <c r="B12" s="87" t="n"/>
      <c r="C12" s="87" t="n"/>
      <c r="D12" s="87" t="n"/>
      <c r="E12" s="87" t="n"/>
      <c r="F12" s="87" t="n"/>
    </row>
    <row r="13" ht="48" customHeight="1">
      <c r="A13" s="89" t="inlineStr">
        <is>
          <t>Conversation length</t>
        </is>
      </c>
      <c r="B13" s="89" t="inlineStr">
        <is>
          <t>TF prefill share</t>
        </is>
      </c>
      <c r="C13" s="89" t="inlineStr">
        <is>
          <t>Our prefill share</t>
        </is>
      </c>
      <c r="D13" s="89" t="inlineStr">
        <is>
          <t>◆ Inference lever, current kernels (x)</t>
        </is>
      </c>
      <c r="E13" s="89" t="inlineStr">
        <is>
          <t>◆ Inference lever, optimized kernels (x)</t>
        </is>
      </c>
      <c r="F13" s="89" t="inlineStr"/>
    </row>
    <row r="14">
      <c r="A14" t="inlineStr">
        <is>
          <t>8k</t>
        </is>
      </c>
      <c r="B14" s="108" t="n">
        <v>0.005899250258734248</v>
      </c>
      <c r="C14" s="107" t="n">
        <v>0.05208995366081766</v>
      </c>
      <c r="D14" s="90" t="n">
        <v>11.92287815199857</v>
      </c>
      <c r="E14" s="90" t="n">
        <v>12.20269551906716</v>
      </c>
    </row>
    <row r="15">
      <c r="A15" t="inlineStr">
        <is>
          <t>32k</t>
        </is>
      </c>
      <c r="B15" s="108" t="n">
        <v>0.002981160980333002</v>
      </c>
      <c r="C15" s="107" t="n">
        <v>0.05196631516233694</v>
      </c>
      <c r="D15" s="90" t="n">
        <v>47.55813072137281</v>
      </c>
      <c r="E15" s="90" t="n">
        <v>48.67155861377862</v>
      </c>
    </row>
    <row r="16">
      <c r="A16" t="inlineStr">
        <is>
          <t>128k</t>
        </is>
      </c>
      <c r="B16" s="108" t="n">
        <v>0.002359266800993781</v>
      </c>
      <c r="C16" s="107" t="n">
        <v>0.06235575593664416</v>
      </c>
      <c r="D16" s="90" t="n">
        <v>188.0304920694428</v>
      </c>
      <c r="E16" s="90" t="n">
        <v>193.3375983858266</v>
      </c>
    </row>
    <row r="17">
      <c r="A17" s="93" t="inlineStr">
        <is>
          <t>262k (used)</t>
        </is>
      </c>
      <c r="B17" s="108" t="n">
        <v>0.00230050437708008</v>
      </c>
      <c r="C17" s="107" t="n">
        <v>0.08221381175542121</v>
      </c>
      <c r="D17" s="90" t="n">
        <v>368.0748334211694</v>
      </c>
      <c r="E17" s="90" t="n">
        <v>381.8963339071965</v>
      </c>
    </row>
    <row r="18"/>
    <row r="19" ht="63" customHeight="1">
      <c r="A19" s="88" t="inlineStr">
        <is>
          <t>Cost = box wall-clock, not FLOPs. The transformer's decode leg is KV-bandwidth-bound (measured 1/context law) while its prefill runs near peak, so prefill is &lt;1% of its serving cost at every context, and the lever is set by decode. Inputs!B24 quotes the pinned 262k row (2026-09-29 ruling). Static values computed by the model — rebuild the workbook to refresh.</t>
        </is>
      </c>
    </row>
  </sheetData>
  <mergeCells count="2">
    <mergeCell ref="A19:F19"/>
    <mergeCell ref="A10:E1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86" t="inlineStr">
        <is>
          <t>COST LADDER — $/H100-equivalent GPU-hour (at scale). Green = market price; yellow = assumption.</t>
        </is>
      </c>
      <c r="B1" s="87" t="n"/>
      <c r="C1" s="87" t="n"/>
      <c r="D1" s="87" t="n"/>
    </row>
    <row r="2">
      <c r="A2" s="93" t="inlineStr">
        <is>
          <t>Procurement mode</t>
        </is>
      </c>
      <c r="B2" s="93" t="inlineStr">
        <is>
          <t>$/hr low</t>
        </is>
      </c>
      <c r="C2" s="93" t="inlineStr">
        <is>
          <t>$/hr high</t>
        </is>
      </c>
      <c r="D2" s="93" t="inlineStr">
        <is>
          <t>What's baked into the price</t>
        </is>
      </c>
    </row>
    <row r="3" ht="33" customHeight="1">
      <c r="A3" t="inlineStr">
        <is>
          <t>Own custom silicon (TPU/Trainium)</t>
        </is>
      </c>
      <c r="B3" s="116" t="n">
        <v>0.9</v>
      </c>
      <c r="C3" s="116" t="n">
        <v>1.4</v>
      </c>
      <c r="D3" s="88" t="inlineStr">
        <is>
          <t>COGS + modest Broadcom/Marvell margin + power + DC. NO NVIDIA margin.</t>
        </is>
      </c>
    </row>
    <row r="4" ht="18" customHeight="1">
      <c r="A4" t="inlineStr">
        <is>
          <t>Buy + operate NVIDIA (scale)</t>
        </is>
      </c>
      <c r="B4" s="116" t="n">
        <v>1.5</v>
      </c>
      <c r="C4" s="116" t="n">
        <v>2</v>
      </c>
      <c r="D4" s="88" t="inlineStr">
        <is>
          <t>NVIDIA ~84% gross margin baked into capex + power + DC.</t>
        </is>
      </c>
    </row>
    <row r="5" ht="18" customHeight="1">
      <c r="A5" t="inlineStr">
        <is>
          <t>Rent NVIDIA - neocloud / committed</t>
        </is>
      </c>
      <c r="B5" s="116" t="n">
        <v>2</v>
      </c>
      <c r="C5" s="116" t="n">
        <v>3.5</v>
      </c>
      <c r="D5" s="88" t="inlineStr">
        <is>
          <t>+ cloud provider capex recovery &amp; margin.</t>
        </is>
      </c>
    </row>
    <row r="6" ht="33" customHeight="1">
      <c r="A6" t="inlineStr">
        <is>
          <t>Rent NVIDIA - hyperscaler on-demand</t>
        </is>
      </c>
      <c r="B6" s="116" t="n">
        <v>3</v>
      </c>
      <c r="C6" s="116" t="n">
        <v>7</v>
      </c>
      <c r="D6" s="88" t="inlineStr">
        <is>
          <t>+ utilization risk + flexibility premium (new B200 to ~$14).</t>
        </is>
      </c>
    </row>
    <row r="7"/>
    <row r="8">
      <c r="A8" s="86" t="inlineStr">
        <is>
          <t>OWNED-NVIDIA TCO CROSS-CHECK (from Inputs)</t>
        </is>
      </c>
      <c r="B8" s="87" t="n"/>
      <c r="C8" s="87" t="n"/>
      <c r="D8" s="87" t="n"/>
    </row>
    <row r="9">
      <c r="A9" t="inlineStr">
        <is>
          <t>Utilization</t>
        </is>
      </c>
      <c r="B9" s="117" t="n">
        <v>0.85</v>
      </c>
    </row>
    <row r="10" ht="18" customHeight="1">
      <c r="A10" t="inlineStr">
        <is>
          <t>Capex $/hr</t>
        </is>
      </c>
      <c r="B10" s="114">
        <f>Inputs!$B$7/(Inputs!$B$11*8760*B9)</f>
        <v/>
      </c>
      <c r="D10" s="88" t="inlineStr">
        <is>
          <t>fully-loaded $/GPU / (life x 8760h x utilization)</t>
        </is>
      </c>
    </row>
    <row r="11" ht="18" customHeight="1">
      <c r="A11" t="inlineStr">
        <is>
          <t>Power $/hr</t>
        </is>
      </c>
      <c r="B11" s="114">
        <f>Inputs!$B$8*Inputs!$B$9</f>
        <v/>
      </c>
      <c r="D11" s="88" t="inlineStr">
        <is>
          <t>wall kW x $/kWh</t>
        </is>
      </c>
    </row>
    <row r="12">
      <c r="A12" t="inlineStr">
        <is>
          <t>DC/staff adder $/hr</t>
        </is>
      </c>
      <c r="B12" s="118" t="n">
        <v>0.3</v>
      </c>
    </row>
    <row r="13" ht="18" customHeight="1">
      <c r="A13" s="93" t="inlineStr">
        <is>
          <t>Owned TCO $/hr</t>
        </is>
      </c>
      <c r="B13" s="119">
        <f>B10+B11+B12</f>
        <v/>
      </c>
      <c r="D13" s="88" t="inlineStr">
        <is>
          <t>cross-checks the 'Buy + operate NVIDIA' row</t>
        </is>
      </c>
    </row>
    <row r="14"/>
    <row r="15" ht="33" customHeight="1">
      <c r="A15" s="88" t="inlineStr">
        <is>
          <t>MARGIN STACK: own-silicon -&gt; buy-NVIDIA ~1.4-2x (NVIDIA margin). buy -&gt; rent ~2-3.5x (cloud margin). own -&gt; rent ~3-5x.</t>
        </is>
      </c>
    </row>
    <row r="16" ht="33" customHeight="1">
      <c r="A16" s="88" t="inlineStr">
        <is>
          <t>B200 builds ~$6,400, sells ~$40,000 -&gt; ~84% gross margin. Hyperscalers charge 3-6x neocloud rates for identical HW.</t>
        </is>
      </c>
    </row>
    <row r="17" ht="33" customHeight="1">
      <c r="A17" s="88" t="inlineStr">
        <is>
          <t>OWN-SILICON: TPU/Trainium/MTIA cost ~1/3 less per useful FLOP than NVIDIA. The model values compute at each company's ACTUAL cost (no gross-up).</t>
        </is>
      </c>
    </row>
    <row r="18" ht="18" customHeight="1">
      <c r="A18" s="88" t="inlineStr">
        <is>
          <t>SemiAnalysis: TPU 20-50% lower TCO per useful FLOP vs GB200/GB300; Trainium3 ~30% better vs GB300.</t>
        </is>
      </c>
    </row>
    <row r="19" ht="33" customHeight="1">
      <c r="A19" s="88"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H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 width="13" customWidth="1" min="7" max="7"/>
  </cols>
  <sheetData>
    <row r="1">
      <c r="A1" s="86" t="inlineStr">
        <is>
          <t>SERVING &amp; TRAINING — measured 2026-08-07/08 (2/4/8 x H100), priced at the CostLadder rent mid ($2.50/GPU-hr). Source: internal measurement archive (keys in the model).</t>
        </is>
      </c>
      <c r="B1" s="87" t="n"/>
      <c r="C1" s="87" t="n"/>
      <c r="D1" s="87" t="n"/>
      <c r="E1" s="87" t="n"/>
      <c r="F1" s="87" t="n"/>
    </row>
    <row r="2"/>
    <row r="3"/>
    <row r="4">
      <c r="A4" s="86" t="inlineStr">
        <is>
          <t>WORKLOAD — measured pre-campaign blend (background; the workbook lever lives at Inputs B24-B29)</t>
        </is>
      </c>
      <c r="B4" s="87" t="n"/>
      <c r="C4" s="87" t="n"/>
      <c r="D4" s="87" t="n"/>
      <c r="E4" s="87" t="n"/>
      <c r="F4" s="87" t="n"/>
    </row>
    <row r="5" ht="168" customHeight="1">
      <c r="A5" s="88"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6"/>
    <row r="7" ht="33" customHeight="1">
      <c r="A7" t="inlineStr">
        <is>
          <t>Input : output token ratio</t>
        </is>
      </c>
      <c r="B7" s="103" t="n">
        <v>10</v>
      </c>
      <c r="F7" s="88" t="inlineStr">
        <is>
          <t>~10:1 = code / reasoning / agent traces. 50-100:1 = RAG and document QA.</t>
        </is>
      </c>
    </row>
    <row r="8" ht="33" customHeight="1">
      <c r="A8" t="inlineStr">
        <is>
          <t>E[context] (tokens)</t>
        </is>
      </c>
      <c r="B8" s="105" t="n">
        <v>65536</v>
      </c>
      <c r="F8" s="88" t="inlineStr">
        <is>
          <t>Our decode cost is context-flat and the transformer's is linear, so the decode advantage is linear in this.</t>
        </is>
      </c>
    </row>
    <row r="9" ht="33" customHeight="1">
      <c r="A9" t="inlineStr">
        <is>
          <t>Training share of accelerator cost</t>
        </is>
      </c>
      <c r="B9" s="118" t="n">
        <v>0</v>
      </c>
      <c r="F9" s="88" t="inlineStr">
        <is>
          <t>0 = a serving-cost claim. Training is a LOSS at short sequence today; above ~0.06 the blend drops below 1.</t>
        </is>
      </c>
    </row>
    <row r="10"/>
    <row r="11">
      <c r="A11" s="93" t="inlineStr">
        <is>
          <t>Measured constants</t>
        </is>
      </c>
    </row>
    <row r="12">
      <c r="A12" t="inlineStr">
        <is>
          <t>Owned decode, tokens/s/box (context-flat)</t>
        </is>
      </c>
      <c r="B12" s="120" t="n">
        <v>4496.668604837461</v>
      </c>
    </row>
    <row r="13">
      <c r="A13" t="inlineStr">
        <is>
          <t>KV MB per token per stream</t>
        </is>
      </c>
      <c r="B13" s="113" t="n">
        <v>0.15234375</v>
      </c>
    </row>
    <row r="14">
      <c r="A14" t="inlineStr">
        <is>
          <t>HBM TB/s per GPU</t>
        </is>
      </c>
      <c r="B14" s="118" t="n">
        <v>3.35</v>
      </c>
    </row>
    <row r="15">
      <c r="A15" t="inlineStr">
        <is>
          <t>Transformer KV compression (mature stack)</t>
        </is>
      </c>
      <c r="B15" s="103" t="n">
        <v>1</v>
      </c>
    </row>
    <row r="16">
      <c r="A16" t="inlineStr">
        <is>
          <t>GPUs per box</t>
        </is>
      </c>
      <c r="B16" s="121" t="n">
        <v>8</v>
      </c>
    </row>
    <row r="17" ht="198" customHeight="1">
      <c r="A17" s="88" t="inlineStr">
        <is>
          <t>Training advantage, short sequence (owned / transformer)</t>
        </is>
      </c>
      <c r="B17" s="122" t="n">
        <v>0.5825609168739003</v>
      </c>
      <c r="F17" s="88"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H4 serving-memory lever. TARGET (no receipt): T=8,192 step &lt;= 83.08 ms and memory 0.88x.</t>
        </is>
      </c>
    </row>
    <row r="18"/>
    <row r="19">
      <c r="A19" s="93" t="inlineStr">
        <is>
          <t>Derived</t>
        </is>
      </c>
    </row>
    <row r="20">
      <c r="A20" t="inlineStr">
        <is>
          <t>KV GB per stream</t>
        </is>
      </c>
      <c r="B20" s="114">
        <f>$B$8*$B$13/1024</f>
        <v/>
      </c>
    </row>
    <row r="21">
      <c r="A21" t="inlineStr">
        <is>
          <t>KV GB per stream, compressed</t>
        </is>
      </c>
      <c r="B21" s="123">
        <f>$B$20/$B$15</f>
        <v/>
      </c>
    </row>
    <row r="22" ht="48" customHeight="1">
      <c r="A22" t="inlineStr">
        <is>
          <t>Transformer decode, tokens/s/box</t>
        </is>
      </c>
      <c r="B22" s="115">
        <f>511.8416*32768/$B$8*$B$15*$B$16</f>
        <v/>
      </c>
      <c r="F22" s="88" t="inlineStr">
        <is>
          <t>MEASURED 1/context law (2026-08-14 re-base): 511.84 tok/s/GPU at 32,768 ctx x 32768/E[context] x KV-compression x GPUs. Crosses our flat 562/GPU near ~30k context.</t>
        </is>
      </c>
    </row>
    <row r="23">
      <c r="A23" t="inlineStr">
        <is>
          <t>Prefill table row (lookup)</t>
        </is>
      </c>
      <c r="B23" s="124">
        <f>MATCH($B$8,$A$33:$A$39,1)</f>
        <v/>
      </c>
    </row>
    <row r="24">
      <c r="A24" t="inlineStr">
        <is>
          <t>Prefill tokens/s/box — transformer</t>
        </is>
      </c>
      <c r="B24" s="115">
        <f>IF(INDEX($B$33:$B$39,MIN($B$23+1,7))=INDEX($B$33:$B$39,$B$23),INDEX($B$33:$B$39,$B$23),EXP(LN(INDEX($B$33:$B$39,$B$23))+(LN($B$8)-LN(INDEX($A$33:$A$39,$B$23)))/(LN(INDEX($A$33:$A$39,MIN($B$23+1,7)))-LN(INDEX($A$33:$A$39,$B$23)))*(LN(INDEX($B$33:$B$39,MIN($B$23+1,7)))-LN(INDEX($B$33:$B$39,$B$23)))))*$B$16</f>
        <v/>
      </c>
    </row>
    <row r="25">
      <c r="A25" t="inlineStr">
        <is>
          <t>Prefill tokens/s/box — owned</t>
        </is>
      </c>
      <c r="B25" s="115">
        <f>IF(INDEX($C$33:$C$39,MIN($B$23+1,7))=INDEX($C$33:$C$39,$B$23),INDEX($C$33:$C$39,$B$23),EXP(LN(INDEX($C$33:$C$39,$B$23))+(LN($B$8)-LN(INDEX($A$33:$A$39,$B$23)))/(LN(INDEX($A$33:$A$39,MIN($B$23+1,7)))-LN(INDEX($A$33:$A$39,$B$23)))*(LN(INDEX($C$33:$C$39,MIN($B$23+1,7)))-LN(INDEX($C$33:$C$39,$B$23)))))*$B$16</f>
        <v/>
      </c>
    </row>
    <row r="26">
      <c r="A26" t="inlineStr">
        <is>
          <t>Transformer seconds per generated token</t>
        </is>
      </c>
      <c r="B26" s="125">
        <f>$B$7/$B$24+1/$B$22</f>
        <v/>
      </c>
    </row>
    <row r="27">
      <c r="A27" t="inlineStr">
        <is>
          <t>Owned seconds per generated token</t>
        </is>
      </c>
      <c r="B27" s="125">
        <f>$B$7/$B$25+1/$B$12</f>
        <v/>
      </c>
    </row>
    <row r="28" ht="78" customHeight="1">
      <c r="A28" s="93" t="inlineStr">
        <is>
          <t>BLENDED COMPUTE LEVER (flop_factor)</t>
        </is>
      </c>
      <c r="B28" s="119">
        <f>IF($B$9&gt;0,1/($B$9/$B$17+(1-$B$9)/($B$26/$B$27)),$B$26/$B$27)</f>
        <v/>
      </c>
      <c r="F28" s="88" t="inlineStr">
        <is>
          <t>Measured pre-campaign workload blend (2026-08-14 basis), kept as BACKGROUND. RETIRED as the workbook lever 2026-09-01: Inputs!B24-B29 now carry the model-computed full-workload levers (decode 2.5 ms x 64 streams estimate; this cell no longer feeds Inputs!B3).</t>
        </is>
      </c>
    </row>
    <row r="29">
      <c r="A29" t="inlineStr">
        <is>
          <t xml:space="preserve">  of which: prefill advantage</t>
        </is>
      </c>
      <c r="B29" s="114">
        <f>($B$7/$B$24)/($B$7/$B$25)</f>
        <v/>
      </c>
    </row>
    <row r="30">
      <c r="A30" t="inlineStr">
        <is>
          <t xml:space="preserve">  of which: decode advantage</t>
        </is>
      </c>
      <c r="B30" s="101">
        <f>(1/$B$22)/(1/$B$12)</f>
        <v/>
      </c>
    </row>
    <row r="31"/>
    <row r="32">
      <c r="A32" s="93" t="inlineStr">
        <is>
          <t>Measured prefill throughput, tokens/s/GPU (bf16 saturated lane, d2048)</t>
        </is>
      </c>
      <c r="D32" s="126" t="inlineStr">
        <is>
          <t>Context</t>
        </is>
      </c>
      <c r="E32" s="126" t="inlineStr">
        <is>
          <t>Transformer</t>
        </is>
      </c>
      <c r="F32" s="126" t="inlineStr">
        <is>
          <t>Owned</t>
        </is>
      </c>
    </row>
    <row r="33">
      <c r="A33" s="127" t="n">
        <v>2048</v>
      </c>
      <c r="B33" s="120" t="n">
        <v>4682606.88285999</v>
      </c>
      <c r="C33" s="120" t="n">
        <v>1185825</v>
      </c>
    </row>
    <row r="34">
      <c r="A34" s="127" t="n">
        <v>8192</v>
      </c>
      <c r="B34" s="120" t="n">
        <v>3450080</v>
      </c>
      <c r="C34" s="120" t="n">
        <v>1183690</v>
      </c>
    </row>
    <row r="35">
      <c r="A35" s="127" t="n">
        <v>32768</v>
      </c>
      <c r="B35" s="120" t="n">
        <v>1711802</v>
      </c>
      <c r="C35" s="120" t="n">
        <v>1186661</v>
      </c>
    </row>
    <row r="36">
      <c r="A36" s="127" t="n">
        <v>65536</v>
      </c>
      <c r="B36" s="120" t="n">
        <v>1007187</v>
      </c>
      <c r="C36" s="120" t="n">
        <v>1181622</v>
      </c>
    </row>
    <row r="37">
      <c r="A37" s="127" t="n">
        <v>131072</v>
      </c>
      <c r="B37" s="120" t="n">
        <v>541094</v>
      </c>
      <c r="C37" s="120" t="n">
        <v>978107</v>
      </c>
    </row>
    <row r="38">
      <c r="A38" s="127" t="n">
        <v>262144</v>
      </c>
      <c r="B38" s="120" t="n">
        <v>277474</v>
      </c>
      <c r="C38" s="120" t="n">
        <v>726142</v>
      </c>
    </row>
    <row r="39">
      <c r="A39" s="127" t="n">
        <v>524288</v>
      </c>
      <c r="B39" s="120" t="n">
        <v>140820</v>
      </c>
      <c r="C39" s="120" t="n">
        <v>478522</v>
      </c>
    </row>
    <row r="40"/>
    <row r="41" ht="153" customHeight="1">
      <c r="A41" s="88" t="inlineStr">
        <is>
          <t>SCOPE: the serving and training blocks below are component-scope systems benches (bAttention d1536 fwd+bwd h-internal 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2"/>
    <row r="43">
      <c r="A43" s="86" t="inlineStr">
        <is>
          <t>Serving at long context — $/1M generated tokens, one 8xH100 box</t>
        </is>
      </c>
      <c r="B43" s="87" t="n"/>
      <c r="C43" s="87" t="n"/>
      <c r="D43" s="87" t="n"/>
      <c r="E43" s="87" t="n"/>
      <c r="F43" s="87" t="n"/>
    </row>
    <row r="44" ht="33" customHeight="1">
      <c r="A44" s="126" t="inlineStr">
        <is>
          <t>Context (tokens)</t>
        </is>
      </c>
      <c r="B44" s="126" t="inlineStr">
        <is>
          <t>bAttention $/1M tok</t>
        </is>
      </c>
      <c r="C44" s="128" t="inlineStr">
        <is>
          <t>Transformer $/1M tok (mature stack)</t>
        </is>
      </c>
      <c r="D44" s="128" t="inlineStr">
        <is>
          <t>TF streams/GPU</t>
        </is>
      </c>
      <c r="E44" s="126" t="inlineStr">
        <is>
          <t>Cost ratio</t>
        </is>
      </c>
      <c r="F44" s="126" t="inlineStr">
        <is>
          <t>Note</t>
        </is>
      </c>
    </row>
    <row r="45" ht="18" customHeight="1">
      <c r="A45" s="127" t="n">
        <v>4096</v>
      </c>
      <c r="B45" s="129" t="n">
        <v>1.235482541359387</v>
      </c>
      <c r="C45" s="130" t="n">
        <v>0.1695945640120853</v>
      </c>
      <c r="D45" s="124" t="n">
        <v>118</v>
      </c>
      <c r="E45" s="131" t="n">
        <v>0.1372698992779634</v>
      </c>
      <c r="F45" s="132" t="inlineStr"/>
    </row>
    <row r="46" ht="18" customHeight="1">
      <c r="A46" s="127" t="n">
        <v>16384</v>
      </c>
      <c r="B46" s="129" t="n">
        <v>1.235482541359387</v>
      </c>
      <c r="C46" s="130" t="n">
        <v>0.678378256048341</v>
      </c>
      <c r="D46" s="124" t="n">
        <v>29</v>
      </c>
      <c r="E46" s="131" t="n">
        <v>0.5490795971118535</v>
      </c>
      <c r="F46" s="132" t="inlineStr"/>
    </row>
    <row r="47" ht="18" customHeight="1">
      <c r="A47" s="127" t="n">
        <v>32768</v>
      </c>
      <c r="B47" s="129" t="n">
        <v>1.235482541359387</v>
      </c>
      <c r="C47" s="130" t="n">
        <v>1.356756512096682</v>
      </c>
      <c r="D47" s="124" t="n">
        <v>14</v>
      </c>
      <c r="E47" s="131" t="n">
        <v>1.098159194223707</v>
      </c>
      <c r="F47" s="132" t="inlineStr"/>
    </row>
    <row r="48" ht="18" customHeight="1">
      <c r="A48" s="127" t="n">
        <v>65536</v>
      </c>
      <c r="B48" s="129" t="n">
        <v>1.235482541359387</v>
      </c>
      <c r="C48" s="130" t="n">
        <v>2.713513024193364</v>
      </c>
      <c r="D48" s="124" t="n">
        <v>7</v>
      </c>
      <c r="E48" s="131" t="n">
        <v>2.196318388447414</v>
      </c>
      <c r="F48" s="132" t="inlineStr"/>
    </row>
    <row r="49" ht="18" customHeight="1">
      <c r="A49" s="127" t="n">
        <v>131072</v>
      </c>
      <c r="B49" s="129" t="n">
        <v>1.235482541359387</v>
      </c>
      <c r="C49" s="130" t="n">
        <v>5.427026048386728</v>
      </c>
      <c r="D49" s="124" t="n">
        <v>3</v>
      </c>
      <c r="E49" s="131" t="n">
        <v>4.392636776894828</v>
      </c>
      <c r="F49" s="132" t="inlineStr"/>
    </row>
    <row r="50" ht="33" customHeight="1">
      <c r="A50" s="127" t="n">
        <v>262144</v>
      </c>
      <c r="B50" s="129" t="n">
        <v>1.235482541359387</v>
      </c>
      <c r="C50" s="130" t="n">
        <v>10.85405209677346</v>
      </c>
      <c r="D50" s="124" t="n">
        <v>1</v>
      </c>
      <c r="E50" s="131" t="n">
        <v>8.785273553789656</v>
      </c>
      <c r="F50" s="132" t="inlineStr">
        <is>
          <t>a measured decode cell (64 streams/GPU against the transformer 1)</t>
        </is>
      </c>
    </row>
    <row r="51" ht="33" customHeight="1">
      <c r="A51" s="127" t="n">
        <v>1048576</v>
      </c>
      <c r="B51" s="133" t="n">
        <v>1.235482541359387</v>
      </c>
      <c r="C51" s="130" t="n">
        <v/>
      </c>
      <c r="D51" s="124" t="n">
        <v>0</v>
      </c>
      <c r="E51" s="131" t="n">
        <v/>
      </c>
      <c r="F51" s="132" t="inlineStr">
        <is>
          <t>bAttention rate extrapolated past 262k (flatness measured 4k-262k)</t>
        </is>
      </c>
    </row>
    <row r="52" ht="168" customHeight="1">
      <c r="A52" s="88"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3"/>
    <row r="54">
      <c r="A54" s="86" t="inlineStr">
        <is>
          <t>Training at scale — same cluster, more steps/s</t>
        </is>
      </c>
      <c r="B54" s="87" t="n"/>
      <c r="C54" s="87" t="n"/>
      <c r="D54" s="87" t="n"/>
      <c r="E54" s="87" t="n"/>
      <c r="F54" s="87" t="n"/>
    </row>
    <row r="55">
      <c r="A55" s="126" t="inlineStr">
        <is>
          <t>Metric</t>
        </is>
      </c>
      <c r="B55" s="126" t="inlineStr">
        <is>
          <t>Value</t>
        </is>
      </c>
      <c r="C55" s="126" t="inlineStr">
        <is>
          <t>Ratio / consequence</t>
        </is>
      </c>
      <c r="D55" s="126" t="inlineStr"/>
      <c r="E55" s="126" t="inlineStr"/>
      <c r="F55" s="126" t="inlineStr">
        <is>
          <t>Status — internal measurement archive key</t>
        </is>
      </c>
    </row>
    <row r="56" ht="33" customHeight="1">
      <c r="A56" s="23" t="inlineStr">
        <is>
          <t>8-GPU speedup, matched load (16 in flight)</t>
        </is>
      </c>
      <c r="B56" s="134" t="inlineStr">
        <is>
          <t>x5.15 fwd+bwd vs x3.70 fwd-only Ulysses best</t>
        </is>
      </c>
      <c r="C56" s="135" t="inlineStr">
        <is>
          <t>x1.39 cluster throughput</t>
        </is>
      </c>
      <c r="F56" s="132" t="inlineStr">
        <is>
          <t>MEASURED — matched_load_curve</t>
        </is>
      </c>
    </row>
    <row r="57" ht="33" customHeight="1">
      <c r="A57" s="23" t="inlineStr">
        <is>
          <t>8-GPU speedup, deep load (256 in flight)</t>
        </is>
      </c>
      <c r="B57" s="134" t="inlineStr">
        <is>
          <t>x6.27 (pipeline keeps filling; TF saturated by 16)</t>
        </is>
      </c>
      <c r="C57" s="135" t="inlineStr">
        <is>
          <t>x1.70</t>
        </is>
      </c>
      <c r="F57" s="132" t="inlineStr">
        <is>
          <t>MEASURED — scaling_1to8_best</t>
        </is>
      </c>
    </row>
    <row r="58" ht="18" customHeight="1">
      <c r="A58" s="23" t="inlineStr">
        <is>
          <t>GPU-hours for the same training work</t>
        </is>
      </c>
      <c r="B58" s="136" t="inlineStr">
        <is>
          <t>-28% (matched) … -41% (deep)</t>
        </is>
      </c>
      <c r="C58" s="23" t="inlineStr"/>
      <c r="F58" s="132" t="inlineStr">
        <is>
          <t>derived</t>
        </is>
      </c>
    </row>
    <row r="59" ht="33" customHeight="1">
      <c r="A59" s="23" t="inlineStr">
        <is>
          <t>64k-token sequence on one 80 GB GPU</t>
        </is>
      </c>
      <c r="B59" s="134" t="inlineStr">
        <is>
          <t>30.9 GB fits vs OOM (78.4 GB attempted)</t>
        </is>
      </c>
      <c r="C59" s="23" t="inlineStr"/>
      <c r="F59" s="132" t="inlineStr">
        <is>
          <t>MEASURED — pipeline_feasibility</t>
        </is>
      </c>
    </row>
    <row r="60" ht="18" customHeight="1">
      <c r="A60" s="23" t="inlineStr">
        <is>
          <t>Pipeline per-GPU peak (flat in load)</t>
        </is>
      </c>
      <c r="B60" s="134" t="inlineStr">
        <is>
          <t>9.05 GB vs 43.3 GB GPipe stage</t>
        </is>
      </c>
      <c r="C60" s="135" t="inlineStr">
        <is>
          <t>x4.8 (component-scope, width-unmatched)</t>
        </is>
      </c>
      <c r="F60" s="132" t="inlineStr">
        <is>
          <t>MEASURED — pipeline_memory_asymmetry</t>
        </is>
      </c>
    </row>
    <row r="61" ht="18" customHeight="1">
      <c r="A61" s="23" t="inlineStr">
        <is>
          <t>Params for equal quality at 70B</t>
        </is>
      </c>
      <c r="B61" s="137" t="inlineStr">
        <is>
          <t>x4.1 [2.2-7.7] transformer</t>
        </is>
      </c>
      <c r="C61" s="23" t="inlineStr"/>
      <c r="F61" s="132" t="inlineStr">
        <is>
          <t>PROJECTION — quality_fit.ref_70B</t>
        </is>
      </c>
    </row>
    <row r="62" ht="33" customHeight="1">
      <c r="A62" s="23" t="inlineStr">
        <is>
          <t>Tokens for equal quality at 70B</t>
        </is>
      </c>
      <c r="B62" s="137" t="inlineStr">
        <is>
          <t>x1.68 [1.33-2.10] (beta=0.28 assumption)</t>
        </is>
      </c>
      <c r="C62" s="23" t="inlineStr"/>
      <c r="F62" s="132" t="inlineStr">
        <is>
          <t>PROJECTION — quality_fit.ref_70B</t>
        </is>
      </c>
    </row>
    <row r="63" ht="33" customHeight="1">
      <c r="A63" s="23" t="inlineStr">
        <is>
          <t>Token-by-token vs production training</t>
        </is>
      </c>
      <c r="B63" s="134" t="inlineStr">
        <is>
          <t>x24 cost to run training token-by-token instead of the production path</t>
        </is>
      </c>
      <c r="C63" s="23" t="inlineStr"/>
      <c r="F63" s="132" t="inlineStr">
        <is>
          <t>MEASURED — token-by-token ratio</t>
        </is>
      </c>
    </row>
    <row r="64"/>
    <row r="65">
      <c r="A65" s="86" t="inlineStr">
        <is>
          <t>The measured workload blend (pre-campaign background; the workbook lever lives at Inputs B24-B29)</t>
        </is>
      </c>
      <c r="B65" s="87" t="n"/>
      <c r="C65" s="87" t="n"/>
      <c r="D65" s="87" t="n"/>
      <c r="E65" s="87" t="n"/>
      <c r="F65" s="87" t="n"/>
    </row>
    <row r="66" ht="588" customHeight="1">
      <c r="A66" s="88"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B24-B29 fold in the banked kernel results and the aggregate-decode estimate.</t>
        </is>
      </c>
    </row>
    <row r="67"/>
    <row r="68">
      <c r="A68" s="86" t="inlineStr">
        <is>
          <t>Estimated TRAINING cost at equal quality (ESTIMATE: measured kernels x fitted quality)</t>
        </is>
      </c>
      <c r="B68" s="87" t="n"/>
      <c r="C68" s="87" t="n"/>
      <c r="D68" s="87" t="n"/>
      <c r="E68" s="87" t="n"/>
      <c r="F68" s="87" t="n"/>
    </row>
    <row r="69" ht="543" customHeight="1">
      <c r="A69" s="88"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internal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0"/>
    <row r="71" ht="33" customHeight="1">
      <c r="A71" s="126" t="inlineStr">
        <is>
          <t>Transformer params</t>
        </is>
      </c>
      <c r="B71" s="126" t="inlineStr">
        <is>
          <t>s(N) fit</t>
        </is>
      </c>
      <c r="C71" s="126" t="inlineStr">
        <is>
          <t>Chinchilla 2k</t>
        </is>
      </c>
      <c r="D71" s="126" t="inlineStr">
        <is>
          <t>Chinchilla 8k</t>
        </is>
      </c>
      <c r="E71" s="128" t="inlineStr">
        <is>
          <t>Chinchilla 32k</t>
        </is>
      </c>
      <c r="F71" s="126" t="inlineStr">
        <is>
          <t>Chinchilla 256k*</t>
        </is>
      </c>
      <c r="G71" s="126" t="inlineStr">
        <is>
          <t>Fixed-D 2k / 8k / 32k / 256k*</t>
        </is>
      </c>
    </row>
    <row r="72">
      <c r="A72" s="23" t="inlineStr">
        <is>
          <t>1B</t>
        </is>
      </c>
      <c r="B72" s="118" t="n">
        <v>1.187536580013817</v>
      </c>
      <c r="C72" s="114" t="n">
        <v>0.8215525301701575</v>
      </c>
      <c r="D72" s="114" t="n">
        <v>1.151570796996963</v>
      </c>
      <c r="E72" s="114" t="n">
        <v>2.471643864304184</v>
      </c>
      <c r="F72" s="114" t="n">
        <v>14.79232582583825</v>
      </c>
      <c r="G72" s="135" t="inlineStr">
        <is>
          <t>0.69 / 0.97 / 2.08 / 12.46</t>
        </is>
      </c>
    </row>
    <row r="73">
      <c r="A73" s="23" t="inlineStr">
        <is>
          <t>10B</t>
        </is>
      </c>
      <c r="B73" s="118" t="n">
        <v>1.811968550196262</v>
      </c>
      <c r="C73" s="114" t="n">
        <v>1.912681494778985</v>
      </c>
      <c r="D73" s="114" t="n">
        <v>2.681007084096966</v>
      </c>
      <c r="E73" s="114" t="n">
        <v>5.754309441368888</v>
      </c>
      <c r="F73" s="114" t="n">
        <v>34.43846477590683</v>
      </c>
      <c r="G73" s="135" t="inlineStr">
        <is>
          <t>1.06 / 1.48 / 3.18 / 19.01</t>
        </is>
      </c>
    </row>
    <row r="74">
      <c r="A74" s="23" t="inlineStr">
        <is>
          <t>100B</t>
        </is>
      </c>
      <c r="B74" s="118" t="n">
        <v>2.764740120141925</v>
      </c>
      <c r="C74" s="114" t="n">
        <v>4.452972106010361</v>
      </c>
      <c r="D74" s="114" t="n">
        <v>6.241734336892029</v>
      </c>
      <c r="E74" s="114" t="n">
        <v>13.3967832604187</v>
      </c>
      <c r="F74" s="114" t="n">
        <v>80.17723988000094</v>
      </c>
      <c r="G74" s="135" t="inlineStr">
        <is>
          <t>1.61 / 2.26 / 4.85 / 29.00</t>
        </is>
      </c>
    </row>
    <row r="75">
      <c r="A75" s="23" t="inlineStr">
        <is>
          <t>1T</t>
        </is>
      </c>
      <c r="B75" s="118" t="n">
        <v>4.21849922897088</v>
      </c>
      <c r="C75" s="114" t="n">
        <v>10.36710013195259</v>
      </c>
      <c r="D75" s="114" t="n">
        <v>14.53157202136217</v>
      </c>
      <c r="E75" s="114" t="n">
        <v>31.1894595790005</v>
      </c>
      <c r="F75" s="114" t="n">
        <v>186.6630767836249</v>
      </c>
      <c r="G75" s="135" t="inlineStr">
        <is>
          <t>2.46 / 3.44 / 7.39 / 44.25</t>
        </is>
      </c>
    </row>
    <row r="76">
      <c r="A76" s="23" t="inlineStr">
        <is>
          <t>10T</t>
        </is>
      </c>
      <c r="B76" s="118" t="n">
        <v>6.436675771144228</v>
      </c>
      <c r="C76" s="114" t="n">
        <v>24.13596191201503</v>
      </c>
      <c r="D76" s="114" t="n">
        <v>33.83139589327395</v>
      </c>
      <c r="E76" s="114" t="n">
        <v>72.61313181830963</v>
      </c>
      <c r="F76" s="114" t="n">
        <v>434.576000451976</v>
      </c>
      <c r="G76" s="135" t="inlineStr">
        <is>
          <t>3.75 / 5.26 / 11.28 / 67.52</t>
        </is>
      </c>
    </row>
    <row r="77"/>
    <row r="78" ht="393" customHeight="1">
      <c r="A78" s="88"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79"/>
    <row r="80" ht="63" customHeight="1">
      <c r="A80" s="126" t="inlineStr">
        <is>
          <t>Training curriculum</t>
        </is>
      </c>
      <c r="B80" s="126" t="inlineStr">
        <is>
          <t>Advantage (TF / ours)</t>
        </is>
      </c>
      <c r="C80" s="126" t="inlineStr">
        <is>
          <t>Effective r</t>
        </is>
      </c>
      <c r="D80" s="128" t="inlineStr">
        <is>
          <t>Mix: token share -&gt; transformer cost share</t>
        </is>
      </c>
      <c r="E80" s="128" t="inlineStr">
        <is>
          <t>FY25 cut @ 20% training</t>
        </is>
      </c>
      <c r="F80" s="126" t="inlineStr">
        <is>
          <t>vs serving-only</t>
        </is>
      </c>
      <c r="G80" s="126" t="inlineStr">
        <is>
          <t>Status</t>
        </is>
      </c>
    </row>
    <row r="81" ht="48" customHeight="1">
      <c r="A81" s="23" t="inlineStr">
        <is>
          <t>Legacy short (all training at 2k)</t>
        </is>
      </c>
      <c r="B81" s="138" t="n">
        <v>0.5825609168739004</v>
      </c>
      <c r="C81" s="139" t="n">
        <v>1.716558682594317</v>
      </c>
      <c r="D81" s="132" t="inlineStr">
        <is>
          <t>2k: 100% tok -&gt; 100% cost</t>
        </is>
      </c>
      <c r="E81" s="140" t="n">
        <v>151.9790428505103</v>
      </c>
      <c r="F81" s="141" t="n">
        <v>-10.76938758946332</v>
      </c>
      <c r="G81" s="142" t="inlineStr">
        <is>
          <t>MEASURED (degenerate one-context case)</t>
        </is>
      </c>
    </row>
    <row r="82" ht="108" customHeight="1">
      <c r="A82" s="23" t="inlineStr">
        <is>
          <t>Modern standard (8k bulk + 64k/256k extension)</t>
        </is>
      </c>
      <c r="B82" s="138" t="n">
        <v>2.220667013967386</v>
      </c>
      <c r="C82" s="139" t="n">
        <v>0.4503151502275102</v>
      </c>
      <c r="D82" s="132" t="inlineStr">
        <is>
          <t>8k: 70% tok -&gt; 26% cost  64k: 20% tok -&gt; 27% cost  256k: 10% tok -&gt; 47% cost</t>
        </is>
      </c>
      <c r="E82" s="140" t="n">
        <v>155.892554913772</v>
      </c>
      <c r="F82" s="141" t="n">
        <v>-6.855875526201629</v>
      </c>
      <c r="G82" s="143" t="inlineStr">
        <is>
          <t>ILLUSTRATIVE ASSUMPTION</t>
        </is>
      </c>
    </row>
    <row r="83" ht="138" customHeight="1">
      <c r="A83" s="23" t="inlineStr">
        <is>
          <t>Long-context heavy (frontier extension phases)</t>
        </is>
      </c>
      <c r="B83" s="138" t="n">
        <v>7.743424712739709</v>
      </c>
      <c r="C83" s="139" t="n">
        <v>0.1291418251093435</v>
      </c>
      <c r="D83" s="132" t="inlineStr">
        <is>
          <t>8k: 40% tok -&gt; 4% cost  64k: 25% tok -&gt; 10% cost  256k: 25% tok -&gt; 34% cost  1024k: 10% tok -&gt; 52% cost</t>
        </is>
      </c>
      <c r="E83" s="140" t="n">
        <v>156.8851883607507</v>
      </c>
      <c r="F83" s="141" t="n">
        <v>-5.863242079222886</v>
      </c>
      <c r="G83" s="143" t="inlineStr">
        <is>
          <t>ILLUSTRATIVE ASSUMPTION</t>
        </is>
      </c>
    </row>
    <row r="84" ht="138" customHeight="1">
      <c r="A84" s="23" t="inlineStr">
        <is>
          <t>Frontier + long-rollout RL</t>
        </is>
      </c>
      <c r="B84" s="138" t="n">
        <v>12.08050561742532</v>
      </c>
      <c r="C84" s="139" t="n">
        <v>0.08277799221893223</v>
      </c>
      <c r="D84" s="132" t="inlineStr">
        <is>
          <t>8k: 30% tok -&gt; 2% cost  64k: 20% tok -&gt; 5% cost  256k: 30% tok -&gt; 26% cost  1024k: 20% tok -&gt; 67% cost</t>
        </is>
      </c>
      <c r="E84" s="140" t="n">
        <v>157.0284826123522</v>
      </c>
      <c r="F84" s="141" t="n">
        <v>-5.719947827621411</v>
      </c>
      <c r="G84" s="143" t="inlineStr">
        <is>
          <t>ILLUSTRATIVE ASSUMPTION</t>
        </is>
      </c>
    </row>
    <row r="85"/>
    <row r="86" ht="273" customHeight="1">
      <c r="A86" s="88" t="inlineStr">
        <is>
          <t>EXCLUDED, AND IT RUNS OUR WAY. At 262k+ the transformer additionally pays sequence-parallelism and activation-memory costs an O(1)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7"/>
    <row r="88" ht="168" customHeight="1">
      <c r="A88" s="88"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89"/>
    <row r="90">
      <c r="A90" s="126" t="inlineStr">
        <is>
          <t>Context (tokens)</t>
        </is>
      </c>
      <c r="B90" s="126" t="inlineStr">
        <is>
          <t>Transformer ms</t>
        </is>
      </c>
      <c r="C90" s="126" t="inlineStr">
        <is>
          <t>bAttention ms</t>
        </is>
      </c>
      <c r="D90" s="126" t="inlineStr">
        <is>
          <t>TF / bAttention</t>
        </is>
      </c>
      <c r="E90" s="126" t="inlineStr"/>
      <c r="F90" s="126" t="inlineStr">
        <is>
          <t>Note</t>
        </is>
      </c>
    </row>
    <row r="91" ht="18" customHeight="1">
      <c r="A91" s="127" t="n">
        <v>2048</v>
      </c>
      <c r="B91" s="90" t="n">
        <v>111.229</v>
      </c>
      <c r="C91" s="144" t="n">
        <v>663.1130000000001</v>
      </c>
      <c r="D91" s="138" t="n">
        <v>0.16773762541226</v>
      </c>
      <c r="F91" s="132" t="inlineStr">
        <is>
          <t>transformer ahead</t>
        </is>
      </c>
    </row>
    <row r="92" ht="18" customHeight="1">
      <c r="A92" s="127" t="n">
        <v>4096</v>
      </c>
      <c r="B92" s="90" t="n">
        <v>125.091</v>
      </c>
      <c r="C92" s="144" t="n">
        <v>662.751</v>
      </c>
      <c r="D92" s="138" t="n">
        <v>0.1887450943114382</v>
      </c>
      <c r="F92" s="132" t="inlineStr">
        <is>
          <t>transformer ahead</t>
        </is>
      </c>
    </row>
    <row r="93" ht="18" customHeight="1">
      <c r="A93" s="127" t="n">
        <v>8192</v>
      </c>
      <c r="B93" s="90" t="n">
        <v>153.085</v>
      </c>
      <c r="C93" s="144" t="n">
        <v>663.327</v>
      </c>
      <c r="D93" s="138" t="n">
        <v>0.2307836104967836</v>
      </c>
      <c r="F93" s="132" t="inlineStr">
        <is>
          <t>transformer ahead</t>
        </is>
      </c>
    </row>
    <row r="94" ht="18" customHeight="1">
      <c r="A94" s="127" t="n">
        <v>16384</v>
      </c>
      <c r="B94" s="90" t="n">
        <v>204.919</v>
      </c>
      <c r="C94" s="144" t="n">
        <v>663.202</v>
      </c>
      <c r="D94" s="138" t="n">
        <v>0.3089842913622094</v>
      </c>
      <c r="F94" s="132" t="inlineStr">
        <is>
          <t>transformer ahead</t>
        </is>
      </c>
    </row>
    <row r="95" ht="18" customHeight="1">
      <c r="A95" s="127" t="n">
        <v>32768</v>
      </c>
      <c r="B95" s="90" t="n">
        <v>309.886</v>
      </c>
      <c r="C95" s="144" t="n">
        <v>662.6180000000001</v>
      </c>
      <c r="D95" s="138" t="n">
        <v>0.4676691547769605</v>
      </c>
      <c r="F95" s="132" t="inlineStr">
        <is>
          <t>transformer ahead</t>
        </is>
      </c>
    </row>
    <row r="96" ht="18" customHeight="1">
      <c r="A96" s="127" t="n">
        <v>65536</v>
      </c>
      <c r="B96" s="90" t="n">
        <v>520.986</v>
      </c>
      <c r="C96" s="144" t="n">
        <v>663.199</v>
      </c>
      <c r="D96" s="138" t="n">
        <v>0.7855651169558459</v>
      </c>
      <c r="F96" s="132" t="inlineStr">
        <is>
          <t>transformer ahead</t>
        </is>
      </c>
    </row>
    <row r="97" ht="18" customHeight="1">
      <c r="A97" s="127" t="n">
        <v>131072</v>
      </c>
      <c r="B97" s="90" t="n">
        <v>969.79</v>
      </c>
      <c r="C97" s="144" t="n">
        <v>753.457</v>
      </c>
      <c r="D97" s="138" t="n">
        <v>1.287120565606265</v>
      </c>
      <c r="F97" s="132" t="inlineStr"/>
    </row>
    <row r="98" ht="18" customHeight="1">
      <c r="A98" s="127" t="n">
        <v>262144</v>
      </c>
      <c r="B98" s="90" t="n">
        <v>1889.616</v>
      </c>
      <c r="C98" s="144" t="n">
        <v>938.175</v>
      </c>
      <c r="D98" s="138" t="n">
        <v>2.014140219042289</v>
      </c>
      <c r="F98" s="132" t="inlineStr"/>
    </row>
    <row r="99" ht="18" customHeight="1">
      <c r="A99" s="127" t="n">
        <v>524288</v>
      </c>
      <c r="B99" s="90" t="n">
        <v>3718.717</v>
      </c>
      <c r="C99" s="144" t="n">
        <v>1308.837</v>
      </c>
      <c r="D99" s="138" t="n">
        <v>2.841237678947035</v>
      </c>
      <c r="F99" s="132" t="inlineStr"/>
    </row>
    <row r="100"/>
    <row r="101">
      <c r="A101" s="86" t="inlineStr">
        <is>
          <t>Assumptions — one row each (MEASURED / PROJECTION / ASSUMPTION)</t>
        </is>
      </c>
      <c r="B101" s="87" t="n"/>
      <c r="C101" s="87" t="n"/>
      <c r="D101" s="87" t="n"/>
      <c r="E101" s="87" t="n"/>
      <c r="F101" s="87" t="n"/>
    </row>
    <row r="102">
      <c r="A102" s="126" t="inlineStr">
        <is>
          <t>Assumption</t>
        </is>
      </c>
      <c r="B102" s="126" t="inlineStr">
        <is>
          <t>Value</t>
        </is>
      </c>
      <c r="C102" s="126" t="inlineStr"/>
      <c r="D102" s="126" t="inlineStr"/>
      <c r="E102" s="126" t="inlineStr">
        <is>
          <t>Status</t>
        </is>
      </c>
      <c r="F102" s="126" t="inlineStr">
        <is>
          <t>Source</t>
        </is>
      </c>
    </row>
    <row r="103" ht="93" customHeight="1">
      <c r="A103" s="23" t="inlineStr">
        <is>
          <t>Compute lever (Today, 2026-09-01 re-base)</t>
        </is>
      </c>
      <c r="B103" s="132" t="inlineStr">
        <is>
          <t>x1553 = full-workload serving lever (decode 2.5 ms/token x 64 streams ESTIMATE, prefill at the BANKED x3.94) x the x4.22 FIT-DERIVED equal-quality ratio at trillion scale; Ceiling = same at the full x7.03 maturity factor (x1611)</t>
        </is>
      </c>
      <c r="E103" s="137" t="inlineStr">
        <is>
          <t>ESTIMATE x PROJECTION</t>
        </is>
      </c>
      <c r="F103" s="132" t="inlineStr">
        <is>
          <t>the model; aggregate-decode receipt PENDING (internal measurement archive)</t>
        </is>
      </c>
    </row>
    <row r="104" ht="123" customHeight="1">
      <c r="A104" s="23" t="inlineStr">
        <is>
          <t>Equal-quality parameter matching</t>
        </is>
      </c>
      <c r="B104" s="132"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143" t="inlineStr">
        <is>
          <t>PROJECTION</t>
        </is>
      </c>
      <c r="F104" s="132" t="inlineStr">
        <is>
          <t>internal measurement archive param_matching; fits over the sealed rope-convention ladder</t>
        </is>
      </c>
    </row>
    <row r="105" ht="213" customHeight="1">
      <c r="A105" s="23" t="inlineStr">
        <is>
          <t>Single-GPU training step (AGAINST us)</t>
        </is>
      </c>
      <c r="B105" s="132"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142" t="inlineStr">
        <is>
          <t>MEASURED</t>
        </is>
      </c>
      <c r="F105" s="132" t="inlineStr">
        <is>
          <t>2026-08-24 GH200 megakernel measurement; prior: internal measurement archive rows[fp16]</t>
        </is>
      </c>
    </row>
    <row r="106" ht="138" customHeight="1">
      <c r="A106" s="23" t="inlineStr">
        <is>
          <t>Training PEAK MEMORY (AGAINST us)</t>
        </is>
      </c>
      <c r="B106" s="132"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142" t="inlineStr">
        <is>
          <t>MEASURED</t>
        </is>
      </c>
      <c r="F106" s="132" t="inlineStr">
        <is>
          <t>2026-08-24 GH200 megakernel measurement</t>
        </is>
      </c>
    </row>
    <row r="107" ht="153" customHeight="1">
      <c r="A107" s="23" t="inlineStr">
        <is>
          <t>Kernel program (TARGET, not a result)</t>
        </is>
      </c>
      <c r="B107" s="132"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143" t="inlineStr">
        <is>
          <t>TARGET</t>
        </is>
      </c>
      <c r="F107" s="132" t="inlineStr">
        <is>
          <t>kernel-campaign program plan, 2026-08-24 — no receipt behind the target half</t>
        </is>
      </c>
    </row>
    <row r="108" ht="258" customHeight="1">
      <c r="A108" s="23" t="inlineStr">
        <is>
          <t>Context scaling of the training gap</t>
        </is>
      </c>
      <c r="B108" s="132"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137" t="inlineStr">
        <is>
          <t>MEASURED (2 ratio points) + PROJECTION</t>
        </is>
      </c>
      <c r="F108" s="132" t="inlineStr">
        <is>
          <t>2026-08-24 GH200 megakernel measurement; 2k cell re-based 2026-08-25</t>
        </is>
      </c>
    </row>
    <row r="109" ht="273" customHeight="1">
      <c r="A109" s="23" t="inlineStr">
        <is>
          <t>Training CONTEXT MIX (reads the other way)</t>
        </is>
      </c>
      <c r="B109" s="132"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137" t="inlineStr">
        <is>
          <t>MEASURED r(T) + ILLUSTRATIVE mix</t>
        </is>
      </c>
      <c r="F109" s="132" t="inlineStr">
        <is>
          <t>the model, the model, the model</t>
        </is>
      </c>
    </row>
    <row r="110" ht="318" customHeight="1">
      <c r="A110" s="132" t="inlineStr">
        <is>
          <t>Long-context training memory (EXCLUDED, runs our way)</t>
        </is>
      </c>
      <c r="B110" s="132"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137" t="inlineStr">
        <is>
          <t>DIRECTIONAL — measured components, not a costed lever</t>
        </is>
      </c>
      <c r="F110" s="132" t="inlineStr">
        <is>
          <t>the model mem_ratio_2k/8k; the model</t>
        </is>
      </c>
    </row>
    <row r="111" ht="33" customHeight="1">
      <c r="A111" s="23" t="inlineStr">
        <is>
          <t>$/GPU-hour</t>
        </is>
      </c>
      <c r="B111" s="132" t="inlineStr">
        <is>
          <t>$2.50 (H100 rent, neocloud/committed mid; ladder 2.00-3.50)</t>
        </is>
      </c>
      <c r="E111" s="143" t="inlineStr">
        <is>
          <t>ASSUMPTION</t>
        </is>
      </c>
      <c r="F111" s="132" t="inlineStr">
        <is>
          <t>this file's CostLadder row — unchanged rate basis</t>
        </is>
      </c>
    </row>
    <row r="112" ht="18" customHeight="1">
      <c r="A112" s="23" t="inlineStr">
        <is>
          <t>Utilization</t>
        </is>
      </c>
      <c r="B112" s="132" t="inlineStr">
        <is>
          <t>85%</t>
        </is>
      </c>
      <c r="E112" s="143" t="inlineStr">
        <is>
          <t>ASSUMPTION</t>
        </is>
      </c>
      <c r="F112" s="132" t="inlineStr">
        <is>
          <t>same value as the ladder's owned-TCO cross-check</t>
        </is>
      </c>
    </row>
    <row r="113" ht="93" customHeight="1">
      <c r="A113" s="23" t="inlineStr">
        <is>
          <t>Context-length mix</t>
        </is>
      </c>
      <c r="B113" s="132" t="inlineStr">
        <is>
          <t>headline quoted at 262k (a measured decode cell); table sweeps 4k-1M. The decode lever crosses 1 at ~29,800 tokens and BELOW that the transformer serves more tokens per GPU-second than we do — stated on every surface</t>
        </is>
      </c>
      <c r="E113" s="143" t="inlineStr">
        <is>
          <t>ASSUMPTION</t>
        </is>
      </c>
      <c r="F113" s="132" t="inlineStr">
        <is>
          <t>serving_cost_curve, decode_throughput_ratio</t>
        </is>
      </c>
    </row>
    <row r="114" ht="213" customHeight="1">
      <c r="A114" s="132" t="inlineStr">
        <is>
          <t>Decode lever is MEMORY-CEILING, not latency (READ FIRST)</t>
        </is>
      </c>
      <c r="B114" s="132"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142" t="inlineStr">
        <is>
          <t>MEASURED</t>
        </is>
      </c>
      <c r="F114" s="132" t="inlineStr">
        <is>
          <t>internal measurement archive; the model</t>
        </is>
      </c>
    </row>
    <row r="115" ht="168" customHeight="1">
      <c r="A115" s="23" t="inlineStr">
        <is>
          <t>Transformer-stack maturity</t>
        </is>
      </c>
      <c r="B115" s="132"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143" t="inlineStr">
        <is>
          <t>ASSUMPTION</t>
        </is>
      </c>
      <c r="F115" s="132" t="inlineStr">
        <is>
          <t>the model</t>
        </is>
      </c>
    </row>
    <row r="116" ht="123" customHeight="1">
      <c r="A116" s="23" t="inlineStr">
        <is>
          <t>bAttention serving throughput</t>
        </is>
      </c>
      <c r="B116" s="132"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142" t="inlineStr">
        <is>
          <t>MEASURED</t>
        </is>
      </c>
      <c r="F116" s="132" t="inlineStr">
        <is>
          <t>internal measurement archive rows[bAttention, 64 streams]</t>
        </is>
      </c>
    </row>
    <row r="117" ht="93" customHeight="1">
      <c r="A117" s="23" t="inlineStr">
        <is>
          <t>bAttention per-stream state</t>
        </is>
      </c>
      <c r="B117" s="132" t="inlineStr">
        <is>
          <t>25.4 MB/stream, the FULL internal cell (h + M memory), 24.2 MiB measured, context-flat. The 0.15 MB figure previously quoted was an h-carry-only proxy with no M memory and is retired as a headline</t>
        </is>
      </c>
      <c r="E117" s="142" t="inlineStr">
        <is>
          <t>MEASURED</t>
        </is>
      </c>
      <c r="F117" s="132" t="inlineStr">
        <is>
          <t>internal measurement archive state_bytes_per_stream</t>
        </is>
      </c>
    </row>
    <row r="118" ht="153" customHeight="1">
      <c r="A118" s="23" t="inlineStr">
        <is>
          <t>Transformer KV wall</t>
        </is>
      </c>
      <c r="B118" s="132"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142" t="inlineStr">
        <is>
          <t>MEASURED</t>
        </is>
      </c>
      <c r="F118" s="132" t="inlineStr">
        <is>
          <t>internal measurement archive rows[transformer]</t>
        </is>
      </c>
    </row>
    <row r="119" ht="63" customHeight="1">
      <c r="A119" s="23" t="inlineStr">
        <is>
          <t>Training throughput at 8 GPUs</t>
        </is>
      </c>
      <c r="B119" s="132" t="inlineStr">
        <is>
          <t>x5.15 (bAttention, fwd+bwd) vs x3.70 (transformer Ulysses best, forward-only) at matched 16-in-flight load -&gt; x1.39; x6.27 at 256 in flight -&gt; x1.70</t>
        </is>
      </c>
      <c r="E119" s="142" t="inlineStr">
        <is>
          <t>MEASURED</t>
        </is>
      </c>
      <c r="F119" s="132" t="inlineStr">
        <is>
          <t>internal measurement archive matched_load_curve, scaling_1to8_best</t>
        </is>
      </c>
    </row>
    <row r="120" ht="48" customHeight="1">
      <c r="A120" s="23" t="inlineStr">
        <is>
          <t>Memory walls (component scope)</t>
        </is>
      </c>
      <c r="B120" s="132" t="inlineStr">
        <is>
          <t>64k-token sequence: 30.9 GB (fits 1 GPU) vs OOM at 78.4 GB attempted; pipeline stage 9.05 GB flat vs GPipe 43.3 GB</t>
        </is>
      </c>
      <c r="E120" s="142" t="inlineStr">
        <is>
          <t>MEASURED</t>
        </is>
      </c>
      <c r="F120" s="132" t="inlineStr">
        <is>
          <t>internal measurement archive pipeline_feasibility, pipeline_memory_asymmetry</t>
        </is>
      </c>
    </row>
    <row r="121" ht="168" customHeight="1">
      <c r="A121" s="23" t="inlineStr">
        <is>
          <t>Compute lever (flop_factor)</t>
        </is>
      </c>
      <c r="B121" s="132"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142" t="inlineStr">
        <is>
          <t>MEASURED</t>
        </is>
      </c>
      <c r="F121" s="132" t="inlineStr">
        <is>
          <t>matched_d{512,1024,2048}internal measurement archive (2026-07-21)</t>
        </is>
      </c>
    </row>
    <row r="122" ht="108" customHeight="1">
      <c r="A122" s="23" t="inlineStr">
        <is>
          <t>Compute, fp32 lane (scope reference)</t>
        </is>
      </c>
      <c r="B122" s="132"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143" t="inlineStr">
        <is>
          <t>LABEL</t>
        </is>
      </c>
      <c r="F122" s="132" t="inlineStr">
        <is>
          <t>internal measurement archive sdpa_fp32_backend_probe + last_route_attestation</t>
        </is>
      </c>
    </row>
    <row r="123" ht="93" customHeight="1">
      <c r="A123" s="23" t="inlineStr">
        <is>
          <t>16-bit IO (training)</t>
        </is>
      </c>
      <c r="B123" s="132" t="inlineStr">
        <is>
          <t>same-arch GH200 gate at d1536: fp16 x1.185 step time and -17.5% peak memory, bf16 x1.171 and -20.6%; quality deltas +0.001 to +0.004 from the gate's smaller vehicle. Reported on its own; not an input to the compute lever</t>
        </is>
      </c>
      <c r="E123" s="142" t="inlineStr">
        <is>
          <t>MEASURED</t>
        </is>
      </c>
      <c r="F123" s="132" t="inlineStr">
        <is>
          <t>internal measurement archive (2026-08-09)</t>
        </is>
      </c>
    </row>
    <row r="124" ht="63" customHeight="1">
      <c r="A124" s="23" t="inlineStr">
        <is>
          <t>Quality parity at 70B</t>
        </is>
      </c>
      <c r="B124" s="132" t="inlineStr">
        <is>
          <t>transformer needs x4.1 params [2.2-7.7] or x1.7 tokens [1.33-2.10, beta=0.28 assumption]; crossover N* ~321M = the top measured rung</t>
        </is>
      </c>
      <c r="E124" s="143" t="inlineStr">
        <is>
          <t>PROJECTION</t>
        </is>
      </c>
      <c r="F124" s="132" t="inlineStr">
        <is>
          <t>internal measurement archive quality_fit.ref_70B, parity_cost</t>
        </is>
      </c>
    </row>
    <row r="125" ht="78" customHeight="1">
      <c r="A125" s="23" t="inlineStr">
        <is>
          <t>Scope</t>
        </is>
      </c>
      <c r="B125" s="132" t="inlineStr">
        <is>
          <t>systems numbers are component-scope (bAttention d1536 fwd+bwd h-internal dynamics sub-block vs transformer d2048 forward-only layer); every speedup is vs the family's OWN 1-GPU baseline</t>
        </is>
      </c>
      <c r="E125" s="143" t="inlineStr">
        <is>
          <t>LABEL</t>
        </is>
      </c>
      <c r="F125" s="132"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E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86" t="inlineStr">
        <is>
          <t>EVIDENCE — cost split, accelerator share, own-silicon TCO, filing data</t>
        </is>
      </c>
      <c r="B1" s="87" t="n"/>
      <c r="C1" s="87" t="n"/>
      <c r="D1" s="87" t="n"/>
    </row>
    <row r="2"/>
    <row r="3" ht="18" customHeight="1">
      <c r="A3" s="93" t="inlineStr">
        <is>
          <t>GPU cost split (BOM)</t>
        </is>
      </c>
      <c r="B3" t="inlineStr">
        <is>
          <t>$ cost</t>
        </is>
      </c>
      <c r="C3" t="inlineStr">
        <is>
          <t>% COGS</t>
        </is>
      </c>
      <c r="D3" s="88" t="inlineStr">
        <is>
          <t>Method 1: teardown = true resource cost</t>
        </is>
      </c>
    </row>
    <row r="4" ht="18" customHeight="1">
      <c r="A4" t="inlineStr">
        <is>
          <t>H100: HBM3 memory (80GB)</t>
        </is>
      </c>
      <c r="B4" t="n">
        <v>1350</v>
      </c>
      <c r="C4" t="inlineStr">
        <is>
          <t>41%</t>
        </is>
      </c>
      <c r="D4" s="88" t="inlineStr">
        <is>
          <t>MEMORY</t>
        </is>
      </c>
    </row>
    <row r="5" ht="18" customHeight="1">
      <c r="A5" t="inlineStr">
        <is>
          <t>H100: CoWoS packaging</t>
        </is>
      </c>
      <c r="B5" t="n">
        <v>750</v>
      </c>
      <c r="C5" t="inlineStr">
        <is>
          <t>23%</t>
        </is>
      </c>
      <c r="D5" s="88" t="inlineStr">
        <is>
          <t>mostly memory (interposer hosts HBM)</t>
        </is>
      </c>
    </row>
    <row r="6" ht="18" customHeight="1">
      <c r="A6" t="inlineStr">
        <is>
          <t>H100: test &amp; assembly</t>
        </is>
      </c>
      <c r="B6" t="n">
        <v>920</v>
      </c>
      <c r="C6" t="inlineStr">
        <is>
          <t>28%</t>
        </is>
      </c>
      <c r="D6" s="88" t="inlineStr">
        <is>
          <t>shared</t>
        </is>
      </c>
    </row>
    <row r="7" ht="18" customHeight="1">
      <c r="A7" t="inlineStr">
        <is>
          <t>H100: logic die (compute)</t>
        </is>
      </c>
      <c r="B7" t="n">
        <v>300</v>
      </c>
      <c r="C7" t="inlineStr">
        <is>
          <t>9%</t>
        </is>
      </c>
      <c r="D7" s="88" t="inlineStr">
        <is>
          <t>COMPUTE -- cheapest part</t>
        </is>
      </c>
    </row>
    <row r="8" ht="18" customHeight="1">
      <c r="A8" t="inlineStr">
        <is>
          <t>H100 total COGS</t>
        </is>
      </c>
      <c r="B8" t="n">
        <v>3320</v>
      </c>
      <c r="C8" t="inlineStr">
        <is>
          <t>100%</t>
        </is>
      </c>
      <c r="D8" s="88" t="inlineStr">
        <is>
          <t>sells ~$28k -&gt; ~88% margin</t>
        </is>
      </c>
    </row>
    <row r="9" ht="18" customHeight="1">
      <c r="A9" t="inlineStr">
        <is>
          <t>B200 total COGS</t>
        </is>
      </c>
      <c r="B9" t="n">
        <v>6400</v>
      </c>
      <c r="C9" t="inlineStr">
        <is>
          <t>HBM 45%</t>
        </is>
      </c>
      <c r="D9" s="88" t="inlineStr">
        <is>
          <t>memory &gt; logic die; sells ~$40k -&gt; ~84% margin</t>
        </is>
      </c>
    </row>
    <row r="10"/>
    <row r="11" ht="18" customHeight="1">
      <c r="A11" s="93" t="inlineStr">
        <is>
          <t>Accelerator share of server BOM</t>
        </is>
      </c>
      <c r="B11" t="inlineStr"/>
      <c r="C11" t="inlineStr"/>
      <c r="D11" s="88" t="inlineStr">
        <is>
          <t>for accel-within-server share</t>
        </is>
      </c>
    </row>
    <row r="12" ht="18" customHeight="1">
      <c r="A12" t="inlineStr">
        <is>
          <t>8x H100 server (J.P. Morgan)</t>
        </is>
      </c>
      <c r="B12" t="inlineStr">
        <is>
          <t>83%</t>
        </is>
      </c>
      <c r="C12" t="inlineStr"/>
      <c r="D12" s="88" t="inlineStr">
        <is>
          <t>accelerator = $200k of $240k</t>
        </is>
      </c>
    </row>
    <row r="13" ht="18" customHeight="1">
      <c r="A13" t="inlineStr">
        <is>
          <t>8x A100 server (J.P. Morgan)</t>
        </is>
      </c>
      <c r="B13" t="inlineStr">
        <is>
          <t>71%</t>
        </is>
      </c>
      <c r="C13" t="inlineStr"/>
      <c r="D13" s="88" t="inlineStr">
        <is>
          <t>GB200 rack ~76-80% (SemiAnalysis)</t>
        </is>
      </c>
    </row>
    <row r="14"/>
    <row r="15" ht="18" customHeight="1">
      <c r="A15" s="93" t="inlineStr">
        <is>
          <t>Own-silicon vs NVIDIA (TCO)</t>
        </is>
      </c>
      <c r="B15" t="inlineStr"/>
      <c r="C15" t="inlineStr"/>
      <c r="D15" s="88" t="inlineStr">
        <is>
          <t>cheaper, but valued at cost in model</t>
        </is>
      </c>
    </row>
    <row r="16" ht="18" customHeight="1">
      <c r="A16" t="inlineStr">
        <is>
          <t>Google TPU v7 vs GB200/GB300</t>
        </is>
      </c>
      <c r="B16" t="inlineStr">
        <is>
          <t>20-50% lower</t>
        </is>
      </c>
      <c r="C16" t="inlineStr"/>
      <c r="D16" s="88" t="inlineStr">
        <is>
          <t>per useful FLOP (SemiAnalysis)</t>
        </is>
      </c>
    </row>
    <row r="17" ht="18" customHeight="1">
      <c r="A17" t="inlineStr">
        <is>
          <t>Amazon Trainium3 vs GB300</t>
        </is>
      </c>
      <c r="B17" t="inlineStr">
        <is>
          <t>~30% better</t>
        </is>
      </c>
      <c r="C17" t="inlineStr"/>
      <c r="D17" s="88" t="inlineStr">
        <is>
          <t>chips ~1/3 cheaper to build</t>
        </is>
      </c>
    </row>
    <row r="18"/>
    <row r="19" ht="18" customHeight="1">
      <c r="A19" s="93" t="inlineStr">
        <is>
          <t>Filing data (FY2025 actuals)</t>
        </is>
      </c>
      <c r="B19" t="inlineStr">
        <is>
          <t>total capex</t>
        </is>
      </c>
      <c r="C19" t="inlineStr">
        <is>
          <t>server life</t>
        </is>
      </c>
      <c r="D19" s="88" t="inlineStr">
        <is>
          <t>DISCLOSED top-lines</t>
        </is>
      </c>
    </row>
    <row r="20" ht="18" customHeight="1">
      <c r="A20" t="inlineStr">
        <is>
          <t>Microsoft (Jun'25, incl leases)</t>
        </is>
      </c>
      <c r="B20" t="inlineStr">
        <is>
          <t>~$88B</t>
        </is>
      </c>
      <c r="C20" t="inlineStr">
        <is>
          <t>2-6 yr</t>
        </is>
      </c>
      <c r="D20" s="88" t="inlineStr">
        <is>
          <t>'roughly half' short-lived (CFO)</t>
        </is>
      </c>
    </row>
    <row r="21" ht="18" customHeight="1">
      <c r="A21" t="inlineStr">
        <is>
          <t>Alphabet</t>
        </is>
      </c>
      <c r="B21" t="inlineStr">
        <is>
          <t>$91.4B</t>
        </is>
      </c>
      <c r="C21" t="inlineStr">
        <is>
          <t>6 yr</t>
        </is>
      </c>
      <c r="D21" s="88" t="inlineStr">
        <is>
          <t>60% servers / 40% DC (CFO)</t>
        </is>
      </c>
    </row>
    <row r="22" ht="18" customHeight="1">
      <c r="A22" t="inlineStr">
        <is>
          <t>Amazon (cash capex)</t>
        </is>
      </c>
      <c r="B22" t="inlineStr">
        <is>
          <t>$128.3B</t>
        </is>
      </c>
      <c r="C22" t="inlineStr">
        <is>
          <t>5 yr (cut)</t>
        </is>
      </c>
      <c r="D22" s="88" t="inlineStr">
        <is>
          <t>AWS 67.8% of net P&amp;E additions</t>
        </is>
      </c>
    </row>
    <row r="23" ht="18" customHeight="1">
      <c r="A23" t="inlineStr">
        <is>
          <t>Meta (incl finance leases)</t>
        </is>
      </c>
      <c r="B23" t="inlineStr">
        <is>
          <t>$72.2B</t>
        </is>
      </c>
      <c r="C23" t="inlineStr">
        <is>
          <t>5.5 yr</t>
        </is>
      </c>
      <c r="D23" s="88" t="inlineStr">
        <is>
          <t>servers 'largest portion' (CFO)</t>
        </is>
      </c>
    </row>
    <row r="24" ht="48" customHeight="1">
      <c r="A24" t="inlineStr">
        <is>
          <t>FY26 capex guidance</t>
        </is>
      </c>
      <c r="B24" t="inlineStr"/>
      <c r="C24" t="inlineStr"/>
      <c r="D24" s="88" t="inlineStr">
        <is>
          <t>MSFT ~$190B, Alphabet $180-190B, Amazon ~$200B, Meta $125-145B, Oracle ~$50B; SpaceX ~$18B (est)</t>
        </is>
      </c>
    </row>
    <row r="25"/>
    <row r="26" ht="33" customHeight="1">
      <c r="A26" s="89" t="inlineStr">
        <is>
          <t>Cost-weighted reduction vs memory share</t>
        </is>
      </c>
      <c r="B26" t="inlineStr">
        <is>
          <t>reduction (x)</t>
        </is>
      </c>
      <c r="C26" t="inlineStr"/>
      <c r="D26" s="88" t="inlineStr">
        <is>
          <t>live: =1/(w/memfac+(1-w)/flopfac)</t>
        </is>
      </c>
    </row>
    <row r="27">
      <c r="A27" t="inlineStr">
        <is>
          <t>memory share = 45%</t>
        </is>
      </c>
      <c r="B27" s="117" t="n">
        <v>0.45</v>
      </c>
      <c r="C27" s="101">
        <f>1/(B27/Inputs!$B$2+(1-B27)/Inputs!$B$3)</f>
        <v/>
      </c>
      <c r="D27" t="inlineStr">
        <is>
          <t>memory term dominates -&gt; pinned near the 100x memory lever</t>
        </is>
      </c>
    </row>
    <row r="28">
      <c r="A28" t="inlineStr">
        <is>
          <t>memory share = 50%</t>
        </is>
      </c>
      <c r="B28" s="117" t="n">
        <v>0.5</v>
      </c>
      <c r="C28" s="101">
        <f>1/(B28/Inputs!$B$2+(1-B28)/Inputs!$B$3)</f>
        <v/>
      </c>
      <c r="D28" t="inlineStr">
        <is>
          <t>memory term dominates -&gt; pinned near the 100x memory lever</t>
        </is>
      </c>
    </row>
    <row r="29">
      <c r="A29" t="inlineStr">
        <is>
          <t>memory share = 60%</t>
        </is>
      </c>
      <c r="B29" s="117" t="n">
        <v>0.6</v>
      </c>
      <c r="C29" s="101">
        <f>1/(B29/Inputs!$B$2+(1-B29)/Inputs!$B$3)</f>
        <v/>
      </c>
      <c r="D29" t="inlineStr">
        <is>
          <t>memory term dominates -&gt; pinned near the 100x memory lever</t>
        </is>
      </c>
    </row>
    <row r="30">
      <c r="A30" t="inlineStr">
        <is>
          <t>memory share = 70%</t>
        </is>
      </c>
      <c r="B30" s="117" t="n">
        <v>0.7</v>
      </c>
      <c r="C30" s="101">
        <f>1/(B30/Inputs!$B$2+(1-B30)/Inputs!$B$3)</f>
        <v/>
      </c>
      <c r="D30" t="inlineStr">
        <is>
          <t>memory term dominates -&gt; pinned near the 100x memory lever</t>
        </is>
      </c>
    </row>
    <row r="31">
      <c r="A31" t="inlineStr">
        <is>
          <t>memory share = 82%</t>
        </is>
      </c>
      <c r="B31" s="117" t="n">
        <v>0.82</v>
      </c>
      <c r="C31" s="101">
        <f>1/(B31/Inputs!$B$2+(1-B31)/Inputs!$B$3)</f>
        <v/>
      </c>
      <c r="D31" t="inlineStr">
        <is>
          <t>memory term dominates -&gt; pinned near the 100x memory lever</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4"/>
  <sheetViews>
    <sheetView workbookViewId="0">
      <selection activeCell="A1" sqref="A1"/>
    </sheetView>
  </sheetViews>
  <sheetFormatPr baseColWidth="8" defaultRowHeight="15"/>
  <cols>
    <col width="120" customWidth="1" min="1" max="1"/>
  </cols>
  <sheetData>
    <row r="1" ht="18" customHeight="1">
      <c r="A1" s="89" t="inlineStr">
        <is>
          <t>METHODOLOGY &amp; SOURCES</t>
        </is>
      </c>
    </row>
    <row r="2" ht="18" customHeight="1">
      <c r="A2" s="88" t="inlineStr"/>
    </row>
    <row r="3" ht="78" customHeight="1">
      <c r="A3" s="88" t="inlineStr">
        <is>
          <t>Engine: GPU cost ~60% memory / ~40% compute. Memory x2,032 (lever H4, MEASURED at 262k on our test model) + inference compute x368 (levers H5 x H6: 64 conversations per GPU x 6.25x faster decode, with prompt processing added back at the active scenario's prefill speed; inference cost does not depend on model size) -&gt; ~x724 cost-weighted (Inputs B20). The front tabs price inference on whole GPUs instead (the fleet shrinks by the smaller lever, x368) and training on GPU-hours (H1 x H2 x H3 = ~x18).</t>
        </is>
      </c>
    </row>
    <row r="4" ht="48" customHeight="1">
      <c r="A4" s="88" t="inlineStr">
        <is>
          <t xml:space="preserve">  Floored by the least-reduced part — at these levers that is COMPUTE (tokens per GPU, x368). With memory at the frontier-geometry ~x208 it would be memory again. The Today/Ceiling pair (retired 2026-09-29) and the pre-campaign family (x9.24 -&gt; ~20x) are no longer used.</t>
        </is>
      </c>
    </row>
    <row r="5" ht="18" customHeight="1">
      <c r="A5" s="88" t="inlineStr"/>
    </row>
    <row r="6" ht="33" customHeight="1">
      <c r="A6" s="88" t="inlineStr">
        <is>
          <t>Per company (own tab): total capex (DISCLOSED) x infra share x server share x accelerator share = accelerator capex; then fleet -&gt; opex -&gt; efficient -&gt; value. FY25 + FY26.</t>
        </is>
      </c>
    </row>
    <row r="7" ht="33" customHeight="1">
      <c r="A7" s="88" t="inlineStr">
        <is>
          <t xml:space="preserve">  infra (data-center) share from 10-K/10-Q P&amp;E and segment notes (MSFT 97%, Alphabet 93-95%, Meta 95-98%, Amazon AWS 68-76%); server share CFO-disclosed (MSFT ~50%, Google 60%); accel-within-server ~67-80% from BOM.</t>
        </is>
      </c>
    </row>
    <row r="8" ht="33" customHeight="1">
      <c r="A8" s="88" t="inlineStr">
        <is>
          <t xml:space="preserve">  Accel % of total varies: Amazon ~30% (legacy fleet + non-AI), MSFT ~37%, Google ~40%, Meta ~48%, SpaceX ~79% (greenfield).</t>
        </is>
      </c>
    </row>
    <row r="9" ht="33" customHeight="1">
      <c r="A9" s="88" t="inlineStr">
        <is>
          <t>Totals (front page): rolls up the company tabs live; no double-count (they don't pay each other for the bulk). GLOBAL row grosses the named total up to a worldwide estimate (Inputs 'Named share of global AI capex').</t>
        </is>
      </c>
    </row>
    <row r="10" ht="33" customHeight="1">
      <c r="A10" s="88" t="inlineStr">
        <is>
          <t>Value: spend cut/yr = accel x (1 - 1/reduction) ~95% + opex savings; capitalized = annual / discount rate. Compute valued at ACTUAL cost.</t>
        </is>
      </c>
    </row>
    <row r="11" ht="33" customHeight="1">
      <c r="A11" s="88" t="inlineStr">
        <is>
          <t>Energy/opex reduction: DERIVED = cost-weighted reduction (energy splits memory/compute like cost). Inputs B5 defaults to =B20; overtype that cell to override.</t>
        </is>
      </c>
    </row>
    <row r="12" ht="48" customHeight="1">
      <c r="A12" s="88"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ht="33" customHeight="1">
      <c r="A13" s="88" t="inlineStr">
        <is>
          <t>Net AI economics (Totals + company tabs): Net AI = AI revenue - AI capex (full AI-infra) - AI opex (cash basis). With our arch: Net AI + spend cut.</t>
        </is>
      </c>
    </row>
    <row r="14" ht="33" customHeight="1">
      <c r="A14" s="88" t="inlineStr">
        <is>
          <t xml:space="preserve">  Shows they all LOSE money on AI today. TOGGLE 'Datacenter scaling factor' (Inputs B13): 0 = accelerator-only (conservative); 1 = whole datacenter scales -&gt; net AI flips positive (~0.7 = breakeven).</t>
        </is>
      </c>
    </row>
    <row r="15" ht="18" customHeight="1">
      <c r="A15" s="88" t="inlineStr"/>
    </row>
    <row r="16" ht="18" customHeight="1">
      <c r="A16" s="89" t="inlineStr">
        <is>
          <t>KEY RESULTS (defaults)</t>
        </is>
      </c>
    </row>
    <row r="17" ht="18" customHeight="1">
      <c r="A17" s="88" t="inlineStr">
        <is>
          <t>- Cost-weighted reduction ~x724 — compute-floored (tokens per GPU x368; memory x2,032).</t>
        </is>
      </c>
    </row>
    <row r="18" ht="18" customHeight="1">
      <c r="A18" s="88" t="inlineStr">
        <is>
          <t>- Net AI FY25: 6 named firms spend ~$363B (capex+opex) vs ~$79B AI revenue = ~ -$284B/yr cash burn.</t>
        </is>
      </c>
    </row>
    <row r="19" ht="18" customHeight="1">
      <c r="A19" s="88" t="inlineStr">
        <is>
          <t>- With our architecture: spend cut ~$163B -&gt; burn shrinks to ~ -$121B/yr (~45% of AI spend cut).</t>
        </is>
      </c>
    </row>
    <row r="20" ht="33" customHeight="1">
      <c r="A20" s="88" t="inlineStr">
        <is>
          <t>- Spend-cut value (named floor, 6% discount rate): FY25 ~$163B/yr (~$2.7T capitalized); FY26 ~$385B/yr (~$6.4T). The cut saturates: ~99% of the chip bill.</t>
        </is>
      </c>
    </row>
    <row r="21" ht="18" customHeight="1">
      <c r="A21" s="88" t="inlineStr">
        <is>
          <t>- GLOBAL estimate (named ~80% of world AI capex): FY25 ~$3.4T, FY26 ~$8.0T capitalized. Clearly an estimate.</t>
        </is>
      </c>
    </row>
    <row r="22" ht="18" customHeight="1">
      <c r="A22" s="88" t="inlineStr"/>
    </row>
    <row r="23" ht="18" customHeight="1">
      <c r="A23" s="89" t="inlineStr">
        <is>
          <t>CAVEATS</t>
        </is>
      </c>
    </row>
    <row r="24" ht="48" customHeight="1">
      <c r="A24" s="88" t="inlineStr">
        <is>
          <t>- AI REVENUE is the softest input: MSFT $37B &amp; Amazon $15B run-rates are DISCLOSED; Google/Meta/Oracle/SpaceX are ESTIMATES. Meta's real AI payoff is indirect ad-uplift (~$20B), not direct revenue -- so its 'loss' here overstates.</t>
        </is>
      </c>
    </row>
    <row r="25" ht="33" customHeight="1">
      <c r="A25" s="88" t="inlineStr">
        <is>
          <t>- Net AI is CASH basis (capex not depreciated). On an accounting (depreciation) basis the loss is smaller; on a depreciation basis it is closer to a true P&amp;L.</t>
        </is>
      </c>
    </row>
    <row r="26" ht="33" customHeight="1">
      <c r="A26" s="88" t="inlineStr">
        <is>
          <t>- No company reports 'accelerator capex'. Totals DISCLOSED; server/accel split ESTIMATED (server CFO-disclosed; accel-within from BOM). +/-15-20%.</t>
        </is>
      </c>
    </row>
    <row r="27" ht="18" customHeight="1">
      <c r="A27" s="88" t="inlineStr">
        <is>
          <t>- FY26 is a full live chain (FY26 total-capex guidance x FY26 shares). SpaceX FY26 ~$18B is an estimate.</t>
        </is>
      </c>
    </row>
    <row r="28" ht="18" customHeight="1">
      <c r="A28" s="88" t="inlineStr">
        <is>
          <t>- Hyperscaler market caps (company tab row 7) are approximate placeholders -- edit to current.</t>
        </is>
      </c>
    </row>
    <row r="29" ht="33" customHeight="1">
      <c r="A29" s="88" t="inlineStr">
        <is>
          <t>- Own-silicon (TPU/Trainium/MTIA) is cheaper per FLOP, but compute is valued at ACTUAL cost; CostLadder shows the buy/rent premium.</t>
        </is>
      </c>
    </row>
    <row r="30" ht="33" customHeight="1">
      <c r="A30" s="88" t="inlineStr">
        <is>
          <t>- Multiplying the levers (memory x2,032 * tokens per GPU x368) is NOT physical: a GPU is bought whole, so the fleet shrinks by the smaller of the two.</t>
        </is>
      </c>
    </row>
    <row r="31" ht="18" customHeight="1">
      <c r="A31" s="88" t="inlineStr">
        <is>
          <t>- JEVONS: savings reinvested into more AI, not budget cuts. Capitalization is a simple perpetuity.</t>
        </is>
      </c>
    </row>
    <row r="32" ht="18" customHeight="1">
      <c r="A32" s="88" t="inlineStr"/>
    </row>
    <row r="33" ht="18" customHeight="1">
      <c r="A33" s="89" t="inlineStr">
        <is>
          <t>SOURCES</t>
        </is>
      </c>
    </row>
    <row r="34" ht="18" customHeight="1">
      <c r="A34" s="88" t="inlineStr">
        <is>
          <t>SpaceX S-1 / IPO: https://www.hl.co.uk/news/inside-spacexs-ipo-filing-revenue-starlink-ai-and-key-financials</t>
        </is>
      </c>
    </row>
    <row r="35" ht="33" customHeight="1">
      <c r="A35" s="88" t="inlineStr">
        <is>
          <t>Microsoft FY25 capex (Q3 FY26 call): https://www.fool.com/earnings/call-transcripts/2026/04/29/microsoft-msft-q3-2026-earnings-transcript/</t>
        </is>
      </c>
    </row>
    <row r="36" ht="33" customHeight="1">
      <c r="A36" s="88" t="inlineStr">
        <is>
          <t>Alphabet FY25 $91.4B, 60/40 split (Q4'25 call): https://www.fool.com/earnings/call-transcripts/2026/02/04/alphabet-googl-q4-2025-earnings-call-transcript/</t>
        </is>
      </c>
    </row>
    <row r="37" ht="33" customHeight="1">
      <c r="A37" s="88" t="inlineStr">
        <is>
          <t>Amazon FY25 $128.3B + server life 6-&gt;5yr (10-K): https://www.sec.gov/Archives/edgar/data/1018724/000101872426000004/amzn-20251231.htm</t>
        </is>
      </c>
    </row>
    <row r="38" ht="33" customHeight="1">
      <c r="A38" s="88" t="inlineStr">
        <is>
          <t>Meta FY25 $72.2B (Q4/FY25 release): https://investor.atmeta.com/investor-news/press-release-details/2026/Meta-Reports-Fourth-Quarter-and-Full-Year-2025-Results/default.aspx</t>
        </is>
      </c>
    </row>
    <row r="39" ht="33" customHeight="1">
      <c r="A39" s="88" t="inlineStr">
        <is>
          <t>H100/B200 BOM + margin (Silicon Analysts): https://siliconanalysts.com/analysis/nvidia-b200-blackwell-cost-breakdown</t>
        </is>
      </c>
    </row>
    <row r="40" ht="18" customHeight="1">
      <c r="A40" s="88" t="inlineStr">
        <is>
          <t>TPU/Trainium TCO (SemiAnalysis): https://newsletter.semianalysis.com/p/tpuv7-google-takes-a-swing-at-the</t>
        </is>
      </c>
    </row>
    <row r="41" ht="18" customHeight="1">
      <c r="A41" s="88" t="inlineStr">
        <is>
          <t>GPU rental prices 2026 (Spheron): https://www.spheron.network/blog/gpu-cloud-pricing-comparison-2026/</t>
        </is>
      </c>
    </row>
    <row r="42" ht="33" customHeight="1">
      <c r="A42" s="88" t="inlineStr">
        <is>
          <t>Microsoft $37B AI run-rate (Q3 FY26): https://news.alphastreet.com/microsoft-msft-q3-fy2026-azure-hits-40-growth-as-ai-business-reaches-37-billion-run-rate/</t>
        </is>
      </c>
    </row>
    <row r="43" ht="33" customHeight="1">
      <c r="A43" s="88" t="inlineStr">
        <is>
          <t>Amazon &gt;$15B AWS AI run-rate (Q1 FY26): https://www.bnnbloomberg.ca/business/artificial-intelligence/2026/04/09/amazon-cloud-units-ai-revenue-run-rate-exceeds-us15-billion-in-first-quarter-ceo-says/</t>
        </is>
      </c>
    </row>
    <row r="44" ht="33" customHeight="1">
      <c r="A44" s="88"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2026-09-29T16:59:38Z</dcterms:created>
  <dcterms:modified xsi:type="dcterms:W3CDTF">2026-09-29T16:59:39Z</dcterms:modified>
</cp:coreProperties>
</file>